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24" codeName="{00000000-0000-0000-0000-000000000000}"/>
  <workbookPr date1904="1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dd54b21f007d855c/Documents/"/>
    </mc:Choice>
  </mc:AlternateContent>
  <xr:revisionPtr revIDLastSave="0" documentId="8_{E9C1A3F6-8AD8-417F-B995-5552D3F00846}" xr6:coauthVersionLast="48" xr6:coauthVersionMax="48" xr10:uidLastSave="{00000000-0000-0000-0000-000000000000}"/>
  <bookViews>
    <workbookView xWindow="-120" yWindow="-120" windowWidth="20730" windowHeight="11760" firstSheet="1" activeTab="1" xr2:uid="{00000000-000D-0000-FFFF-FFFF00000000}"/>
  </bookViews>
  <sheets>
    <sheet name="Instructions" sheetId="6" r:id="rId1"/>
    <sheet name="BNOW" sheetId="1" r:id="rId2"/>
    <sheet name="Data" sheetId="2" r:id="rId3"/>
    <sheet name="Filtered Data" sheetId="5" state="hidden" r:id="rId4"/>
    <sheet name="10QDropDownList" sheetId="4" state="hidden" r:id="rId5"/>
  </sheets>
  <definedNames>
    <definedName name="BIGNUM">9.99999999999999E+307</definedName>
    <definedName name="List10q10k">'10QDropDownList'!$A$1:$A$2</definedName>
    <definedName name="_xlnm.Print_Area" localSheetId="1">BNOW!$A$1:$P$83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70" i="2" l="1"/>
  <c r="H70" i="2"/>
  <c r="I70" i="2"/>
  <c r="I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94" i="2"/>
  <c r="F22" i="5" l="1"/>
  <c r="F23" i="5"/>
  <c r="H8" i="2"/>
  <c r="H9" i="2"/>
  <c r="B4" i="5" s="1"/>
  <c r="H10" i="2"/>
  <c r="B5" i="5" s="1"/>
  <c r="H11" i="2"/>
  <c r="B6" i="5" s="1"/>
  <c r="H12" i="2"/>
  <c r="H13" i="2"/>
  <c r="B8" i="5" s="1"/>
  <c r="H14" i="2"/>
  <c r="H15" i="2"/>
  <c r="H16" i="2"/>
  <c r="H17" i="2"/>
  <c r="B12" i="5" s="1"/>
  <c r="H18" i="2"/>
  <c r="B13" i="5" s="1"/>
  <c r="H19" i="2"/>
  <c r="B14" i="5" s="1"/>
  <c r="H20" i="2"/>
  <c r="H21" i="2"/>
  <c r="B16" i="5" s="1"/>
  <c r="H22" i="2"/>
  <c r="H23" i="2"/>
  <c r="H24" i="2"/>
  <c r="H25" i="2"/>
  <c r="H26" i="2"/>
  <c r="B21" i="5" s="1"/>
  <c r="H27" i="2"/>
  <c r="B22" i="5" s="1"/>
  <c r="H28" i="2"/>
  <c r="H29" i="2"/>
  <c r="B24" i="5" s="1"/>
  <c r="H30" i="2"/>
  <c r="H31" i="2"/>
  <c r="H32" i="2"/>
  <c r="H33" i="2"/>
  <c r="B28" i="5" s="1"/>
  <c r="H34" i="2"/>
  <c r="B29" i="5" s="1"/>
  <c r="H35" i="2"/>
  <c r="B30" i="5" s="1"/>
  <c r="H36" i="2"/>
  <c r="H37" i="2"/>
  <c r="B32" i="5" s="1"/>
  <c r="H38" i="2"/>
  <c r="H39" i="2"/>
  <c r="H40" i="2"/>
  <c r="H41" i="2"/>
  <c r="B36" i="5" s="1"/>
  <c r="H42" i="2"/>
  <c r="B37" i="5" s="1"/>
  <c r="H43" i="2"/>
  <c r="B38" i="5" s="1"/>
  <c r="H44" i="2"/>
  <c r="H45" i="2"/>
  <c r="H46" i="2"/>
  <c r="H47" i="2"/>
  <c r="H48" i="2"/>
  <c r="H49" i="2"/>
  <c r="B44" i="5" s="1"/>
  <c r="H50" i="2"/>
  <c r="H51" i="2"/>
  <c r="B46" i="5" s="1"/>
  <c r="H52" i="2"/>
  <c r="H53" i="2"/>
  <c r="H54" i="2"/>
  <c r="H55" i="2"/>
  <c r="H56" i="2"/>
  <c r="H57" i="2"/>
  <c r="B52" i="5" s="1"/>
  <c r="H58" i="2"/>
  <c r="H59" i="2"/>
  <c r="B54" i="5" s="1"/>
  <c r="H60" i="2"/>
  <c r="H61" i="2"/>
  <c r="B56" i="5" s="1"/>
  <c r="H62" i="2"/>
  <c r="H63" i="2"/>
  <c r="H64" i="2"/>
  <c r="H65" i="2"/>
  <c r="B60" i="5" s="1"/>
  <c r="H66" i="2"/>
  <c r="H67" i="2"/>
  <c r="B62" i="5" s="1"/>
  <c r="H68" i="2"/>
  <c r="H69" i="2"/>
  <c r="B64" i="5" s="1"/>
  <c r="H71" i="2"/>
  <c r="H72" i="2"/>
  <c r="H73" i="2"/>
  <c r="B68" i="5" s="1"/>
  <c r="H74" i="2"/>
  <c r="B69" i="5" s="1"/>
  <c r="H75" i="2"/>
  <c r="B70" i="5" s="1"/>
  <c r="H76" i="2"/>
  <c r="H77" i="2"/>
  <c r="H78" i="2"/>
  <c r="H79" i="2"/>
  <c r="H80" i="2"/>
  <c r="H81" i="2"/>
  <c r="B76" i="5" s="1"/>
  <c r="H82" i="2"/>
  <c r="B77" i="5" s="1"/>
  <c r="H83" i="2"/>
  <c r="B78" i="5" s="1"/>
  <c r="H84" i="2"/>
  <c r="H85" i="2"/>
  <c r="H86" i="2"/>
  <c r="B81" i="5" s="1"/>
  <c r="H87" i="2"/>
  <c r="H88" i="2"/>
  <c r="H89" i="2"/>
  <c r="H90" i="2"/>
  <c r="B85" i="5" s="1"/>
  <c r="H91" i="2"/>
  <c r="B86" i="5" s="1"/>
  <c r="H92" i="2"/>
  <c r="H93" i="2"/>
  <c r="B91" i="5"/>
  <c r="B92" i="5"/>
  <c r="B93" i="5"/>
  <c r="B94" i="5"/>
  <c r="B95" i="5"/>
  <c r="B96" i="5"/>
  <c r="B99" i="5"/>
  <c r="B100" i="5"/>
  <c r="B101" i="5"/>
  <c r="B102" i="5"/>
  <c r="B103" i="5"/>
  <c r="F3" i="5"/>
  <c r="F6" i="5"/>
  <c r="B108" i="5"/>
  <c r="F8" i="5"/>
  <c r="F9" i="5"/>
  <c r="B111" i="5"/>
  <c r="F11" i="5"/>
  <c r="F14" i="5"/>
  <c r="F15" i="5"/>
  <c r="F17" i="5"/>
  <c r="B119" i="5"/>
  <c r="F19" i="5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I50" i="1"/>
  <c r="I51" i="1" s="1"/>
  <c r="I52" i="1" s="1"/>
  <c r="J50" i="1"/>
  <c r="J51" i="1" s="1"/>
  <c r="J52" i="1" s="1"/>
  <c r="P54" i="1"/>
  <c r="P53" i="1"/>
  <c r="P52" i="1"/>
  <c r="P51" i="1"/>
  <c r="P50" i="1"/>
  <c r="I131" i="2"/>
  <c r="I132" i="2"/>
  <c r="I133" i="2"/>
  <c r="I134" i="2"/>
  <c r="I135" i="2"/>
  <c r="I136" i="2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3" i="5"/>
  <c r="J76" i="1"/>
  <c r="L62" i="1"/>
  <c r="J63" i="1"/>
  <c r="J64" i="1" s="1"/>
  <c r="J58" i="1"/>
  <c r="I63" i="1"/>
  <c r="I64" i="1" s="1"/>
  <c r="I58" i="1"/>
  <c r="B3" i="5"/>
  <c r="I8" i="2"/>
  <c r="I9" i="2"/>
  <c r="C4" i="5" s="1"/>
  <c r="I10" i="2"/>
  <c r="C5" i="5" s="1"/>
  <c r="I11" i="2"/>
  <c r="C6" i="5" s="1"/>
  <c r="B7" i="5"/>
  <c r="I12" i="2"/>
  <c r="C7" i="5" s="1"/>
  <c r="I13" i="2"/>
  <c r="C8" i="5" s="1"/>
  <c r="I14" i="2"/>
  <c r="B10" i="5"/>
  <c r="I15" i="2"/>
  <c r="C10" i="5" s="1"/>
  <c r="B11" i="5"/>
  <c r="I16" i="2"/>
  <c r="C11" i="5" s="1"/>
  <c r="I17" i="2"/>
  <c r="C12" i="5" s="1"/>
  <c r="I18" i="2"/>
  <c r="I19" i="2"/>
  <c r="C14" i="5" s="1"/>
  <c r="B15" i="5"/>
  <c r="I20" i="2"/>
  <c r="C15" i="5" s="1"/>
  <c r="I21" i="2"/>
  <c r="C16" i="5" s="1"/>
  <c r="I22" i="2"/>
  <c r="B18" i="5"/>
  <c r="I23" i="2"/>
  <c r="C18" i="5" s="1"/>
  <c r="B19" i="5"/>
  <c r="I24" i="2"/>
  <c r="C19" i="5" s="1"/>
  <c r="I25" i="2"/>
  <c r="C20" i="5" s="1"/>
  <c r="I26" i="2"/>
  <c r="C21" i="5" s="1"/>
  <c r="I27" i="2"/>
  <c r="C22" i="5" s="1"/>
  <c r="B23" i="5"/>
  <c r="I28" i="2"/>
  <c r="C23" i="5" s="1"/>
  <c r="I29" i="2"/>
  <c r="C24" i="5" s="1"/>
  <c r="I30" i="2"/>
  <c r="C25" i="5" s="1"/>
  <c r="B26" i="5"/>
  <c r="I31" i="2"/>
  <c r="C26" i="5" s="1"/>
  <c r="B27" i="5"/>
  <c r="I32" i="2"/>
  <c r="C27" i="5" s="1"/>
  <c r="I33" i="2"/>
  <c r="C28" i="5" s="1"/>
  <c r="I34" i="2"/>
  <c r="C29" i="5" s="1"/>
  <c r="I35" i="2"/>
  <c r="C30" i="5" s="1"/>
  <c r="B31" i="5"/>
  <c r="I36" i="2"/>
  <c r="C31" i="5" s="1"/>
  <c r="I37" i="2"/>
  <c r="C32" i="5"/>
  <c r="I38" i="2"/>
  <c r="C33" i="5" s="1"/>
  <c r="B34" i="5"/>
  <c r="I39" i="2"/>
  <c r="C34" i="5" s="1"/>
  <c r="B35" i="5"/>
  <c r="I40" i="2"/>
  <c r="C35" i="5" s="1"/>
  <c r="I41" i="2"/>
  <c r="C36" i="5" s="1"/>
  <c r="I42" i="2"/>
  <c r="C37" i="5" s="1"/>
  <c r="I43" i="2"/>
  <c r="C38" i="5" s="1"/>
  <c r="B39" i="5"/>
  <c r="I44" i="2"/>
  <c r="C39" i="5" s="1"/>
  <c r="I45" i="2"/>
  <c r="C40" i="5" s="1"/>
  <c r="B41" i="5"/>
  <c r="I46" i="2"/>
  <c r="C41" i="5" s="1"/>
  <c r="B42" i="5"/>
  <c r="I47" i="2"/>
  <c r="C42" i="5" s="1"/>
  <c r="B43" i="5"/>
  <c r="I48" i="2"/>
  <c r="C43" i="5" s="1"/>
  <c r="I49" i="2"/>
  <c r="C44" i="5" s="1"/>
  <c r="I50" i="2"/>
  <c r="C45" i="5" s="1"/>
  <c r="I51" i="2"/>
  <c r="C46" i="5" s="1"/>
  <c r="B47" i="5"/>
  <c r="I52" i="2"/>
  <c r="C47" i="5" s="1"/>
  <c r="I53" i="2"/>
  <c r="C48" i="5"/>
  <c r="B49" i="5"/>
  <c r="I54" i="2"/>
  <c r="C49" i="5" s="1"/>
  <c r="B50" i="5"/>
  <c r="I55" i="2"/>
  <c r="C50" i="5" s="1"/>
  <c r="B51" i="5"/>
  <c r="I56" i="2"/>
  <c r="C51" i="5"/>
  <c r="I57" i="2"/>
  <c r="C52" i="5" s="1"/>
  <c r="B53" i="5"/>
  <c r="I58" i="2"/>
  <c r="C53" i="5" s="1"/>
  <c r="I59" i="2"/>
  <c r="C54" i="5" s="1"/>
  <c r="B55" i="5"/>
  <c r="I60" i="2"/>
  <c r="C55" i="5" s="1"/>
  <c r="I61" i="2"/>
  <c r="C56" i="5" s="1"/>
  <c r="B57" i="5"/>
  <c r="I62" i="2"/>
  <c r="B58" i="5"/>
  <c r="I63" i="2"/>
  <c r="C58" i="5" s="1"/>
  <c r="B59" i="5"/>
  <c r="I64" i="2"/>
  <c r="C59" i="5" s="1"/>
  <c r="I65" i="2"/>
  <c r="C60" i="5" s="1"/>
  <c r="B61" i="5"/>
  <c r="I66" i="2"/>
  <c r="C61" i="5" s="1"/>
  <c r="I67" i="2"/>
  <c r="C62" i="5" s="1"/>
  <c r="B63" i="5"/>
  <c r="I68" i="2"/>
  <c r="C63" i="5" s="1"/>
  <c r="I69" i="2"/>
  <c r="C64" i="5" s="1"/>
  <c r="B65" i="5"/>
  <c r="B66" i="5"/>
  <c r="I71" i="2"/>
  <c r="C66" i="5" s="1"/>
  <c r="I72" i="2"/>
  <c r="C67" i="5" s="1"/>
  <c r="I73" i="2"/>
  <c r="C68" i="5"/>
  <c r="I74" i="2"/>
  <c r="C69" i="5" s="1"/>
  <c r="I75" i="2"/>
  <c r="C70" i="5" s="1"/>
  <c r="B71" i="5"/>
  <c r="I76" i="2"/>
  <c r="C71" i="5" s="1"/>
  <c r="I77" i="2"/>
  <c r="C72" i="5" s="1"/>
  <c r="B73" i="5"/>
  <c r="I78" i="2"/>
  <c r="C73" i="5" s="1"/>
  <c r="B74" i="5"/>
  <c r="I79" i="2"/>
  <c r="C74" i="5" s="1"/>
  <c r="B75" i="5"/>
  <c r="I80" i="2"/>
  <c r="C75" i="5" s="1"/>
  <c r="I81" i="2"/>
  <c r="C76" i="5" s="1"/>
  <c r="I82" i="2"/>
  <c r="C77" i="5" s="1"/>
  <c r="I83" i="2"/>
  <c r="C78" i="5" s="1"/>
  <c r="B79" i="5"/>
  <c r="I84" i="2"/>
  <c r="C79" i="5" s="1"/>
  <c r="B80" i="5"/>
  <c r="I85" i="2"/>
  <c r="C80" i="5" s="1"/>
  <c r="I86" i="2"/>
  <c r="C81" i="5" s="1"/>
  <c r="B82" i="5"/>
  <c r="I87" i="2"/>
  <c r="C82" i="5" s="1"/>
  <c r="B83" i="5"/>
  <c r="I88" i="2"/>
  <c r="C83" i="5" s="1"/>
  <c r="I89" i="2"/>
  <c r="C84" i="5" s="1"/>
  <c r="I90" i="2"/>
  <c r="I91" i="2"/>
  <c r="C86" i="5" s="1"/>
  <c r="B87" i="5"/>
  <c r="I92" i="2"/>
  <c r="C87" i="5" s="1"/>
  <c r="B88" i="5"/>
  <c r="I93" i="2"/>
  <c r="C88" i="5" s="1"/>
  <c r="B89" i="5"/>
  <c r="I95" i="2"/>
  <c r="C90" i="5" s="1"/>
  <c r="I96" i="2"/>
  <c r="C91" i="5" s="1"/>
  <c r="I97" i="2"/>
  <c r="C92" i="5" s="1"/>
  <c r="I98" i="2"/>
  <c r="C93" i="5" s="1"/>
  <c r="I99" i="2"/>
  <c r="C94" i="5" s="1"/>
  <c r="I100" i="2"/>
  <c r="C95" i="5" s="1"/>
  <c r="I101" i="2"/>
  <c r="C96" i="5" s="1"/>
  <c r="B97" i="5"/>
  <c r="I102" i="2"/>
  <c r="C97" i="5" s="1"/>
  <c r="B98" i="5"/>
  <c r="I103" i="2"/>
  <c r="C98" i="5" s="1"/>
  <c r="I104" i="2"/>
  <c r="C99" i="5" s="1"/>
  <c r="I105" i="2"/>
  <c r="C100" i="5" s="1"/>
  <c r="I106" i="2"/>
  <c r="C101" i="5" s="1"/>
  <c r="I107" i="2"/>
  <c r="C102" i="5" s="1"/>
  <c r="I108" i="2"/>
  <c r="C103" i="5" s="1"/>
  <c r="B104" i="5"/>
  <c r="I109" i="2"/>
  <c r="G3" i="5" s="1"/>
  <c r="F4" i="5"/>
  <c r="I110" i="2"/>
  <c r="G4" i="5" s="1"/>
  <c r="F5" i="5"/>
  <c r="I111" i="2"/>
  <c r="C106" i="5" s="1"/>
  <c r="I112" i="2"/>
  <c r="G6" i="5" s="1"/>
  <c r="I113" i="2"/>
  <c r="C108" i="5" s="1"/>
  <c r="I114" i="2"/>
  <c r="C109" i="5" s="1"/>
  <c r="I115" i="2"/>
  <c r="C110" i="5" s="1"/>
  <c r="I116" i="2"/>
  <c r="G10" i="5" s="1"/>
  <c r="I117" i="2"/>
  <c r="C112" i="5" s="1"/>
  <c r="F12" i="5"/>
  <c r="I118" i="2"/>
  <c r="C113" i="5" s="1"/>
  <c r="F13" i="5"/>
  <c r="I119" i="2"/>
  <c r="C114" i="5" s="1"/>
  <c r="I120" i="2"/>
  <c r="G14" i="5" s="1"/>
  <c r="I121" i="2"/>
  <c r="C116" i="5" s="1"/>
  <c r="F16" i="5"/>
  <c r="I122" i="2"/>
  <c r="C117" i="5" s="1"/>
  <c r="I123" i="2"/>
  <c r="C118" i="5" s="1"/>
  <c r="I124" i="2"/>
  <c r="G18" i="5" s="1"/>
  <c r="I125" i="2"/>
  <c r="G19" i="5" s="1"/>
  <c r="F20" i="5"/>
  <c r="I126" i="2"/>
  <c r="G20" i="5" s="1"/>
  <c r="F21" i="5"/>
  <c r="I127" i="2"/>
  <c r="G21" i="5" s="1"/>
  <c r="I128" i="2"/>
  <c r="I129" i="2"/>
  <c r="G23" i="5" s="1"/>
  <c r="F24" i="5"/>
  <c r="I130" i="2"/>
  <c r="G24" i="5" s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3" i="5"/>
  <c r="B67" i="5"/>
  <c r="B9" i="5"/>
  <c r="B17" i="5"/>
  <c r="B20" i="5"/>
  <c r="B25" i="5"/>
  <c r="B33" i="5"/>
  <c r="B40" i="5"/>
  <c r="B45" i="5"/>
  <c r="B48" i="5"/>
  <c r="B72" i="5"/>
  <c r="B84" i="5"/>
  <c r="B90" i="5"/>
  <c r="B105" i="5"/>
  <c r="B125" i="5"/>
  <c r="C65" i="5"/>
  <c r="C9" i="5"/>
  <c r="C13" i="5"/>
  <c r="C17" i="5"/>
  <c r="C57" i="5"/>
  <c r="C85" i="5"/>
  <c r="C89" i="5"/>
  <c r="C122" i="5"/>
  <c r="B120" i="5"/>
  <c r="B112" i="5"/>
  <c r="B124" i="5"/>
  <c r="B114" i="5"/>
  <c r="B113" i="5"/>
  <c r="C3" i="5"/>
  <c r="B117" i="5"/>
  <c r="B121" i="5"/>
  <c r="B109" i="5"/>
  <c r="F10" i="5"/>
  <c r="B122" i="5"/>
  <c r="C124" i="5"/>
  <c r="F18" i="5"/>
  <c r="B106" i="5"/>
  <c r="B123" i="5"/>
  <c r="C115" i="5" l="1"/>
  <c r="C121" i="5"/>
  <c r="G7" i="5"/>
  <c r="J78" i="1"/>
  <c r="J79" i="1" s="1"/>
  <c r="C111" i="5"/>
  <c r="B107" i="5"/>
  <c r="G5" i="5"/>
  <c r="B118" i="5"/>
  <c r="B115" i="5"/>
  <c r="G11" i="5"/>
  <c r="B110" i="5"/>
  <c r="C119" i="5"/>
  <c r="F7" i="5"/>
  <c r="B116" i="5"/>
  <c r="C105" i="5"/>
  <c r="G8" i="5"/>
  <c r="G15" i="5"/>
  <c r="P57" i="1"/>
  <c r="N66" i="1" s="1"/>
  <c r="N67" i="1" s="1"/>
  <c r="P59" i="1"/>
  <c r="P80" i="1" s="1"/>
  <c r="G17" i="5"/>
  <c r="P60" i="1"/>
  <c r="P61" i="1"/>
  <c r="C123" i="5"/>
  <c r="G22" i="5"/>
  <c r="C120" i="5"/>
  <c r="G16" i="5"/>
  <c r="G13" i="5"/>
  <c r="C125" i="5"/>
  <c r="C107" i="5"/>
  <c r="P58" i="1"/>
  <c r="G12" i="5"/>
  <c r="G9" i="5"/>
  <c r="C104" i="5"/>
  <c r="P62" i="1"/>
  <c r="J77" i="1" l="1"/>
  <c r="H2" i="1"/>
  <c r="N73" i="1"/>
  <c r="N76" i="1" s="1"/>
  <c r="N80" i="1"/>
  <c r="N82" i="1" s="1"/>
  <c r="N68" i="1"/>
  <c r="P66" i="1"/>
  <c r="P67" i="1" s="1"/>
  <c r="P73" i="1"/>
  <c r="P74" i="1" s="1"/>
  <c r="N69" i="1"/>
  <c r="P81" i="1"/>
  <c r="P83" i="1"/>
  <c r="P82" i="1"/>
  <c r="O80" i="1"/>
  <c r="O73" i="1"/>
  <c r="O66" i="1"/>
  <c r="P69" i="1" l="1"/>
  <c r="N74" i="1"/>
  <c r="N83" i="1"/>
  <c r="N81" i="1"/>
  <c r="N75" i="1"/>
  <c r="P68" i="1"/>
  <c r="P75" i="1"/>
  <c r="P76" i="1"/>
  <c r="O74" i="1"/>
  <c r="O75" i="1"/>
  <c r="O76" i="1"/>
  <c r="O82" i="1"/>
  <c r="O81" i="1"/>
  <c r="O83" i="1"/>
  <c r="O68" i="1"/>
  <c r="O67" i="1"/>
  <c r="O6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 Ru</author>
    <author>MDG</author>
  </authors>
  <commentList>
    <comment ref="B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For 1st fiscal quarter, input 1, for 2nd input 2, for 3rd input 3, for 10K input 4.</t>
        </r>
      </text>
    </comment>
    <comment ref="I5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you can change the name like "3 month ended" or "6 month ended" or "9 month ended"</t>
        </r>
      </text>
    </comment>
    <comment ref="J5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ex: if quarter used in the "Last Quarter" field is Q3 2017, then for this field input quarterly data for Q3 2016</t>
        </r>
      </text>
    </comment>
    <comment ref="I6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always input 3 month end data</t>
        </r>
      </text>
    </comment>
    <comment ref="J60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always input annual data for last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62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You can change this value to see # of days traded less than that.</t>
        </r>
      </text>
    </comment>
  </commentList>
</comments>
</file>

<file path=xl/sharedStrings.xml><?xml version="1.0" encoding="utf-8"?>
<sst xmlns="http://schemas.openxmlformats.org/spreadsheetml/2006/main" count="125" uniqueCount="108">
  <si>
    <t>Make sure the company you're doing a debt sheet for hasn't been done recently (search the Drive)</t>
  </si>
  <si>
    <t>1.  Go to OTCMarkets.com</t>
  </si>
  <si>
    <t>2.  Type in the symbol of the company you are doing a debt sheet for, click "Get Quote"</t>
  </si>
  <si>
    <t>3.  On the left side of the screen, click "Charts"</t>
  </si>
  <si>
    <t>4.  Towards the bottom of the screen, click "6m"</t>
  </si>
  <si>
    <t>5.  Above the graph, click "Data", then click "Save As Excel".  Save the file.</t>
  </si>
  <si>
    <t>6.  Open the saved data file and copy all the data (select cell A1 and press Ctrl+Shft+Right Arrow then Ctrl+Shft+Down Arrow, then Ctrl+C)</t>
  </si>
  <si>
    <t>7.  Switch to the Debt Sheet Template, open the Data tab (with cells still highlighted from your downloaded data sheet)</t>
  </si>
  <si>
    <t>8.  Press the red button</t>
  </si>
  <si>
    <t>9.  Select all, click on the error sign and change data to show numbers</t>
  </si>
  <si>
    <t>10. Change tab name from XXX to the symbol of the company</t>
  </si>
  <si>
    <t>11. Save the document as "debt sheet - Symbol"</t>
  </si>
  <si>
    <t>12.  Fill out information in Yellow cells from forms 10-K and 10-Q</t>
  </si>
  <si>
    <t>Companies that we like</t>
  </si>
  <si>
    <t>a. Days traded less than $5,000 over the last 30 days not more than 10</t>
  </si>
  <si>
    <t>b. Average dollar volume traded per day for the last 30 days not less than $10,000</t>
  </si>
  <si>
    <t>c. Companies that need cash</t>
  </si>
  <si>
    <t>d. Companies that have a history of issuing convertible debts</t>
  </si>
  <si>
    <t>e. Companies that have outstanding convertible debts</t>
  </si>
  <si>
    <t>Use your best judgement</t>
  </si>
  <si>
    <t>COMPANY NAME (TICKER)</t>
  </si>
  <si>
    <t xml:space="preserve">TABLES AND/OR SCREENSHOTS TO HELP YOU WITH YOUR PRESENTATION I.E. CONVERTIBLE NOTE TERMS, </t>
  </si>
  <si>
    <t>Latest Filing:</t>
  </si>
  <si>
    <t>Company Address Here</t>
  </si>
  <si>
    <t>OTC Pink</t>
  </si>
  <si>
    <t>10-Q Filing Period:</t>
  </si>
  <si>
    <t>Paste Link to Latest Filing Here</t>
  </si>
  <si>
    <t>Company Phone Here</t>
  </si>
  <si>
    <t>Ticker HERE</t>
  </si>
  <si>
    <t>Fiscal Year End:</t>
  </si>
  <si>
    <t>Company Website Here</t>
  </si>
  <si>
    <t>Analyst Opinion &amp; Today's Date</t>
  </si>
  <si>
    <t>Analyst Name:</t>
  </si>
  <si>
    <t>Company Information</t>
  </si>
  <si>
    <t>Fundamental Analysis</t>
  </si>
  <si>
    <t>Volume Statistics</t>
  </si>
  <si>
    <t>Yahoo Finance</t>
  </si>
  <si>
    <t>OTC Markets</t>
  </si>
  <si>
    <t>Management</t>
  </si>
  <si>
    <t>Burn Rate</t>
  </si>
  <si>
    <t>Last Quarter This year</t>
  </si>
  <si>
    <t>Same Quarter Last Year</t>
  </si>
  <si>
    <t>Volume Stats</t>
  </si>
  <si>
    <t>Value</t>
  </si>
  <si>
    <t>CF Change</t>
  </si>
  <si>
    <t>AVG per day for latest 30 trading days</t>
  </si>
  <si>
    <t>AVG per day for latest 60 trading days</t>
  </si>
  <si>
    <t>Remaining Cash (days)</t>
  </si>
  <si>
    <t>AVG per day for latest 90 trading days</t>
  </si>
  <si>
    <t>Minimum volume for latest 30 trading days</t>
  </si>
  <si>
    <t>Fundamental</t>
  </si>
  <si>
    <t xml:space="preserve"> Last Quarter</t>
  </si>
  <si>
    <t>Maximum volume for latest 30 trading days</t>
  </si>
  <si>
    <t>BS</t>
  </si>
  <si>
    <t>Cash</t>
  </si>
  <si>
    <t>Current Asset</t>
  </si>
  <si>
    <t>Value Stats (US$)</t>
  </si>
  <si>
    <t>Current Liability</t>
  </si>
  <si>
    <t>Company Description</t>
  </si>
  <si>
    <t>Working Capital</t>
  </si>
  <si>
    <t>Retained Earnings</t>
  </si>
  <si>
    <t>6 Month Ended</t>
  </si>
  <si>
    <t>Last Year (Annual)</t>
  </si>
  <si>
    <t>Minimum value for latest 30 trading days</t>
  </si>
  <si>
    <t>IS</t>
  </si>
  <si>
    <t>Revenue</t>
  </si>
  <si>
    <t>Maximum value for latest 30 trading days</t>
  </si>
  <si>
    <t>COGS</t>
  </si>
  <si>
    <t>Gross Profit</t>
  </si>
  <si>
    <t>Gross Margin</t>
  </si>
  <si>
    <t>Based on last</t>
  </si>
  <si>
    <t>Net income</t>
  </si>
  <si>
    <t>% of Volume</t>
  </si>
  <si>
    <t>Last Quarter</t>
  </si>
  <si>
    <t>Major Shareholders</t>
  </si>
  <si>
    <t>Institution Type</t>
  </si>
  <si>
    <t>Holding as of</t>
  </si>
  <si>
    <t>% Held</t>
  </si>
  <si>
    <t>CF</t>
  </si>
  <si>
    <t>CF from Ops</t>
  </si>
  <si>
    <t>CF from Inv</t>
  </si>
  <si>
    <t>CF from Fin</t>
  </si>
  <si>
    <t>Share Information</t>
  </si>
  <si>
    <t>Shares Authorized</t>
  </si>
  <si>
    <t>Shares Issued</t>
  </si>
  <si>
    <t>Shares Outstanding</t>
  </si>
  <si>
    <t>Par Value</t>
  </si>
  <si>
    <t xml:space="preserve">4.99% of outstanding </t>
  </si>
  <si>
    <t>Dollar value of 4.99% outstanding</t>
  </si>
  <si>
    <t xml:space="preserve">Current Market Price (USD) </t>
  </si>
  <si>
    <t>Accountant</t>
  </si>
  <si>
    <t>Market Capitalization</t>
  </si>
  <si>
    <t>Attorney</t>
  </si>
  <si>
    <t>Transfer Agent</t>
  </si>
  <si>
    <t>INFO ABOUT PRODUCTS DOWN HERE/ USE SCREENSHOTS AS NEEDED FROM COMPANY WEBSITE AND/OR 10K</t>
  </si>
  <si>
    <t>6 Month</t>
  </si>
  <si>
    <t>Date</t>
  </si>
  <si>
    <t>Open</t>
  </si>
  <si>
    <t>High</t>
  </si>
  <si>
    <t>Low</t>
  </si>
  <si>
    <t>Close</t>
  </si>
  <si>
    <t>Volume</t>
  </si>
  <si>
    <t>VWOP</t>
  </si>
  <si>
    <t>OHLC Avg</t>
  </si>
  <si>
    <t>Value Traded</t>
  </si>
  <si>
    <t>OHLC Average</t>
  </si>
  <si>
    <t>10Q</t>
  </si>
  <si>
    <t>10K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</si>
</sst>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_(* #,##0_);_(* \(#,##0\);_(* &quot;-&quot;??_);_(@_)"/>
    <numFmt numFmtId="167" formatCode="_(&quot;$&quot;* #,##0.0000_);_(&quot;$&quot;* \(#,##0.0000\);_(&quot;$&quot;* &quot;-&quot;??_);_(@_)"/>
    <numFmt numFmtId="168" formatCode="_(&quot;$&quot;* #,##0.0000_);_(&quot;$&quot;* \(#,##0.0000\);_(&quot;$&quot;* &quot;-&quot;????_);_(@_)"/>
    <numFmt numFmtId="169" formatCode="0.0%"/>
    <numFmt numFmtId="170" formatCode="mm/dd/yy;@"/>
    <numFmt numFmtId="171" formatCode="_(&quot;$&quot;* #,##0_);_(&quot;$&quot;* \(#,##0\);_(&quot;$&quot;* &quot;-&quot;??_);_(@_)"/>
    <numFmt numFmtId="172" formatCode="m/d;@"/>
    <numFmt numFmtId="173" formatCode="_(&quot;$&quot;* #,##0_);_(&quot;$&quot;* \(#,##0\);_(&quot;$&quot;* &quot;-&quot;????_);_(@_)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entury Gothic"/>
      <family val="2"/>
    </font>
    <font>
      <b/>
      <sz val="12"/>
      <name val="Century Gothic"/>
      <family val="2"/>
    </font>
    <font>
      <b/>
      <sz val="12"/>
      <color theme="1"/>
      <name val="Century Gothic"/>
      <family val="2"/>
    </font>
    <font>
      <sz val="12"/>
      <color indexed="8"/>
      <name val="Century Gothic"/>
      <family val="2"/>
    </font>
    <font>
      <sz val="12"/>
      <name val="Century Gothic"/>
      <family val="2"/>
    </font>
    <font>
      <b/>
      <sz val="12"/>
      <color rgb="FF000000"/>
      <name val="Century Gothic"/>
      <family val="2"/>
    </font>
    <font>
      <sz val="12"/>
      <color rgb="FF000000"/>
      <name val="Century Gothic"/>
      <family val="2"/>
    </font>
    <font>
      <sz val="12"/>
      <color rgb="FF212121"/>
      <name val="Century Gothic"/>
      <family val="2"/>
    </font>
    <font>
      <b/>
      <sz val="18"/>
      <color theme="1"/>
      <name val="Century Gothic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entury Gothic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sz val="11"/>
      <color rgb="FF444444"/>
      <name val="Arial"/>
      <family val="18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A6B9E1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FF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</borders>
  <cellStyleXfs count="33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208">
    <xf numFmtId="0" fontId="0" fillId="0" borderId="0" xfId="0"/>
    <xf numFmtId="44" fontId="0" fillId="0" borderId="0" xfId="1" applyFont="1"/>
    <xf numFmtId="0" fontId="3" fillId="2" borderId="0" xfId="0" applyFont="1" applyFill="1" applyAlignment="1">
      <alignment horizontal="centerContinuous"/>
    </xf>
    <xf numFmtId="0" fontId="5" fillId="0" borderId="0" xfId="0" applyFont="1"/>
    <xf numFmtId="0" fontId="5" fillId="0" borderId="0" xfId="0" applyFont="1" applyAlignment="1">
      <alignment vertical="top"/>
    </xf>
    <xf numFmtId="0" fontId="5" fillId="0" borderId="0" xfId="0" applyFont="1" applyAlignment="1">
      <alignment horizontal="right"/>
    </xf>
    <xf numFmtId="165" fontId="6" fillId="0" borderId="0" xfId="4" applyNumberFormat="1" applyFont="1"/>
    <xf numFmtId="166" fontId="9" fillId="0" borderId="0" xfId="4" applyNumberFormat="1" applyFont="1" applyAlignment="1">
      <alignment horizontal="center"/>
    </xf>
    <xf numFmtId="43" fontId="6" fillId="0" borderId="0" xfId="4" applyFont="1" applyAlignment="1">
      <alignment horizontal="center"/>
    </xf>
    <xf numFmtId="14" fontId="5" fillId="0" borderId="0" xfId="0" applyNumberFormat="1" applyFont="1" applyAlignment="1" applyProtection="1">
      <alignment vertical="top"/>
      <protection locked="0"/>
    </xf>
    <xf numFmtId="0" fontId="5" fillId="0" borderId="0" xfId="0" applyFont="1" applyAlignment="1" applyProtection="1">
      <alignment horizontal="right"/>
      <protection locked="0"/>
    </xf>
    <xf numFmtId="0" fontId="14" fillId="0" borderId="0" xfId="0" applyFont="1"/>
    <xf numFmtId="0" fontId="5" fillId="0" borderId="0" xfId="0" applyFont="1" applyAlignment="1">
      <alignment horizontal="center" vertical="center"/>
    </xf>
    <xf numFmtId="0" fontId="6" fillId="7" borderId="12" xfId="2" applyFont="1" applyFill="1" applyBorder="1" applyAlignment="1">
      <alignment horizontal="center" vertical="center"/>
    </xf>
    <xf numFmtId="165" fontId="6" fillId="7" borderId="12" xfId="4" applyNumberFormat="1" applyFont="1" applyFill="1" applyBorder="1" applyAlignment="1">
      <alignment horizontal="center" vertical="center"/>
    </xf>
    <xf numFmtId="14" fontId="0" fillId="0" borderId="0" xfId="0" applyNumberFormat="1"/>
    <xf numFmtId="0" fontId="15" fillId="0" borderId="29" xfId="0" applyFont="1" applyBorder="1"/>
    <xf numFmtId="0" fontId="15" fillId="0" borderId="29" xfId="0" applyFont="1" applyBorder="1" applyProtection="1">
      <protection locked="0"/>
    </xf>
    <xf numFmtId="2" fontId="0" fillId="0" borderId="29" xfId="0" applyNumberFormat="1" applyBorder="1"/>
    <xf numFmtId="44" fontId="0" fillId="0" borderId="29" xfId="1" applyFont="1" applyBorder="1"/>
    <xf numFmtId="0" fontId="6" fillId="0" borderId="0" xfId="2" applyFont="1"/>
    <xf numFmtId="0" fontId="0" fillId="0" borderId="0" xfId="0" applyAlignment="1">
      <alignment horizontal="left"/>
    </xf>
    <xf numFmtId="44" fontId="0" fillId="0" borderId="0" xfId="0" applyNumberFormat="1"/>
    <xf numFmtId="0" fontId="16" fillId="8" borderId="1" xfId="2" applyFont="1" applyFill="1" applyBorder="1" applyAlignment="1">
      <alignment vertical="center"/>
    </xf>
    <xf numFmtId="0" fontId="16" fillId="8" borderId="31" xfId="2" applyFont="1" applyFill="1" applyBorder="1" applyAlignment="1">
      <alignment vertical="center"/>
    </xf>
    <xf numFmtId="0" fontId="16" fillId="8" borderId="36" xfId="2" applyFont="1" applyFill="1" applyBorder="1" applyAlignment="1">
      <alignment vertical="center"/>
    </xf>
    <xf numFmtId="0" fontId="7" fillId="7" borderId="35" xfId="0" applyFont="1" applyFill="1" applyBorder="1" applyAlignment="1">
      <alignment horizontal="center" vertical="center"/>
    </xf>
    <xf numFmtId="0" fontId="7" fillId="8" borderId="33" xfId="0" applyFont="1" applyFill="1" applyBorder="1" applyAlignment="1">
      <alignment horizontal="center" vertical="center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6" fillId="7" borderId="10" xfId="2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165" fontId="6" fillId="7" borderId="10" xfId="4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6" fillId="7" borderId="11" xfId="2" applyFont="1" applyFill="1" applyBorder="1" applyAlignment="1">
      <alignment vertical="center"/>
    </xf>
    <xf numFmtId="165" fontId="6" fillId="7" borderId="11" xfId="4" applyNumberFormat="1" applyFont="1" applyFill="1" applyBorder="1" applyAlignment="1">
      <alignment vertical="center"/>
    </xf>
    <xf numFmtId="0" fontId="5" fillId="7" borderId="11" xfId="0" applyFont="1" applyFill="1" applyBorder="1" applyAlignment="1">
      <alignment vertical="center"/>
    </xf>
    <xf numFmtId="0" fontId="6" fillId="7" borderId="12" xfId="2" applyFont="1" applyFill="1" applyBorder="1" applyAlignment="1">
      <alignment vertical="center"/>
    </xf>
    <xf numFmtId="0" fontId="7" fillId="0" borderId="18" xfId="0" applyFont="1" applyBorder="1" applyAlignment="1">
      <alignment vertical="center"/>
    </xf>
    <xf numFmtId="0" fontId="7" fillId="0" borderId="27" xfId="0" applyFont="1" applyBorder="1" applyAlignment="1">
      <alignment horizontal="right" vertical="center"/>
    </xf>
    <xf numFmtId="0" fontId="7" fillId="0" borderId="28" xfId="0" applyFont="1" applyBorder="1" applyAlignment="1">
      <alignment horizontal="right" vertical="center"/>
    </xf>
    <xf numFmtId="9" fontId="7" fillId="3" borderId="21" xfId="0" applyNumberFormat="1" applyFont="1" applyFill="1" applyBorder="1" applyAlignment="1">
      <alignment vertical="center"/>
    </xf>
    <xf numFmtId="164" fontId="5" fillId="0" borderId="14" xfId="0" applyNumberFormat="1" applyFont="1" applyBorder="1" applyAlignment="1">
      <alignment horizontal="right" vertical="center"/>
    </xf>
    <xf numFmtId="42" fontId="7" fillId="0" borderId="21" xfId="0" applyNumberFormat="1" applyFont="1" applyBorder="1" applyAlignment="1">
      <alignment horizontal="left" vertical="center"/>
    </xf>
    <xf numFmtId="3" fontId="5" fillId="0" borderId="14" xfId="0" applyNumberFormat="1" applyFont="1" applyBorder="1" applyAlignment="1">
      <alignment horizontal="right" vertical="center" wrapText="1"/>
    </xf>
    <xf numFmtId="3" fontId="5" fillId="0" borderId="15" xfId="0" applyNumberFormat="1" applyFont="1" applyBorder="1" applyAlignment="1">
      <alignment horizontal="right" vertical="center" wrapText="1"/>
    </xf>
    <xf numFmtId="42" fontId="7" fillId="0" borderId="22" xfId="0" applyNumberFormat="1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right" vertical="center" wrapText="1"/>
    </xf>
    <xf numFmtId="3" fontId="5" fillId="0" borderId="17" xfId="0" applyNumberFormat="1" applyFont="1" applyBorder="1" applyAlignment="1">
      <alignment horizontal="right" vertical="center" wrapText="1"/>
    </xf>
    <xf numFmtId="0" fontId="5" fillId="7" borderId="11" xfId="0" applyFont="1" applyFill="1" applyBorder="1" applyAlignment="1">
      <alignment horizontal="right" vertical="center"/>
    </xf>
    <xf numFmtId="0" fontId="6" fillId="7" borderId="11" xfId="2" applyFont="1" applyFill="1" applyBorder="1" applyAlignment="1">
      <alignment horizontal="right" vertical="center"/>
    </xf>
    <xf numFmtId="0" fontId="6" fillId="7" borderId="12" xfId="2" applyFont="1" applyFill="1" applyBorder="1" applyAlignment="1">
      <alignment horizontal="right" vertical="center"/>
    </xf>
    <xf numFmtId="9" fontId="7" fillId="3" borderId="13" xfId="0" applyNumberFormat="1" applyFont="1" applyFill="1" applyBorder="1" applyAlignment="1">
      <alignment vertical="center"/>
    </xf>
    <xf numFmtId="42" fontId="7" fillId="0" borderId="13" xfId="0" applyNumberFormat="1" applyFont="1" applyBorder="1" applyAlignment="1">
      <alignment horizontal="left" vertical="center"/>
    </xf>
    <xf numFmtId="42" fontId="7" fillId="0" borderId="9" xfId="0" applyNumberFormat="1" applyFont="1" applyBorder="1" applyAlignment="1">
      <alignment horizontal="left" vertical="center"/>
    </xf>
    <xf numFmtId="0" fontId="6" fillId="6" borderId="11" xfId="0" applyFont="1" applyFill="1" applyBorder="1" applyAlignment="1">
      <alignment vertical="center"/>
    </xf>
    <xf numFmtId="0" fontId="6" fillId="6" borderId="11" xfId="0" applyFont="1" applyFill="1" applyBorder="1" applyAlignment="1">
      <alignment horizontal="right" vertical="center"/>
    </xf>
    <xf numFmtId="0" fontId="6" fillId="6" borderId="12" xfId="0" applyFont="1" applyFill="1" applyBorder="1" applyAlignment="1">
      <alignment horizontal="right" vertical="center"/>
    </xf>
    <xf numFmtId="0" fontId="10" fillId="0" borderId="18" xfId="0" applyFont="1" applyBorder="1" applyAlignment="1">
      <alignment vertical="center"/>
    </xf>
    <xf numFmtId="0" fontId="10" fillId="0" borderId="18" xfId="0" applyFont="1" applyBorder="1" applyAlignment="1">
      <alignment horizontal="right" vertical="center"/>
    </xf>
    <xf numFmtId="0" fontId="10" fillId="0" borderId="19" xfId="0" applyFont="1" applyBorder="1" applyAlignment="1">
      <alignment horizontal="right" vertical="center"/>
    </xf>
    <xf numFmtId="9" fontId="10" fillId="4" borderId="8" xfId="0" applyNumberFormat="1" applyFont="1" applyFill="1" applyBorder="1" applyAlignment="1">
      <alignment vertical="center"/>
    </xf>
    <xf numFmtId="9" fontId="10" fillId="4" borderId="18" xfId="0" applyNumberFormat="1" applyFont="1" applyFill="1" applyBorder="1" applyAlignment="1">
      <alignment vertical="center"/>
    </xf>
    <xf numFmtId="42" fontId="10" fillId="0" borderId="8" xfId="0" applyNumberFormat="1" applyFont="1" applyBorder="1" applyAlignment="1">
      <alignment horizontal="left" vertical="center"/>
    </xf>
    <xf numFmtId="42" fontId="10" fillId="0" borderId="18" xfId="0" applyNumberFormat="1" applyFont="1" applyBorder="1" applyAlignment="1">
      <alignment horizontal="left" vertical="center"/>
    </xf>
    <xf numFmtId="42" fontId="10" fillId="0" borderId="20" xfId="0" applyNumberFormat="1" applyFont="1" applyBorder="1" applyAlignment="1">
      <alignment horizontal="left" vertical="center"/>
    </xf>
    <xf numFmtId="42" fontId="10" fillId="0" borderId="7" xfId="0" applyNumberFormat="1" applyFont="1" applyBorder="1" applyAlignment="1">
      <alignment horizontal="left" vertical="center"/>
    </xf>
    <xf numFmtId="0" fontId="5" fillId="0" borderId="2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9" fontId="5" fillId="0" borderId="15" xfId="5" applyFont="1" applyFill="1" applyBorder="1" applyAlignment="1">
      <alignment horizontal="right" vertical="center"/>
    </xf>
    <xf numFmtId="0" fontId="5" fillId="0" borderId="22" xfId="0" applyFont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170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172" fontId="5" fillId="0" borderId="5" xfId="0" applyNumberFormat="1" applyFont="1" applyBorder="1" applyAlignment="1">
      <alignment horizontal="left" vertical="center"/>
    </xf>
    <xf numFmtId="0" fontId="7" fillId="8" borderId="33" xfId="0" applyFont="1" applyFill="1" applyBorder="1" applyAlignment="1">
      <alignment vertical="center"/>
    </xf>
    <xf numFmtId="0" fontId="5" fillId="8" borderId="34" xfId="0" applyFont="1" applyFill="1" applyBorder="1" applyAlignment="1">
      <alignment vertical="center"/>
    </xf>
    <xf numFmtId="0" fontId="7" fillId="8" borderId="34" xfId="0" applyFont="1" applyFill="1" applyBorder="1" applyAlignment="1">
      <alignment vertical="center"/>
    </xf>
    <xf numFmtId="0" fontId="5" fillId="8" borderId="35" xfId="0" applyFont="1" applyFill="1" applyBorder="1" applyAlignment="1">
      <alignment vertical="center"/>
    </xf>
    <xf numFmtId="171" fontId="5" fillId="0" borderId="27" xfId="1" applyNumberFormat="1" applyFont="1" applyBorder="1" applyAlignment="1">
      <alignment horizontal="left" vertical="center"/>
    </xf>
    <xf numFmtId="171" fontId="5" fillId="0" borderId="28" xfId="1" applyNumberFormat="1" applyFont="1" applyBorder="1" applyAlignment="1">
      <alignment horizontal="left" vertical="center"/>
    </xf>
    <xf numFmtId="171" fontId="5" fillId="0" borderId="14" xfId="1" applyNumberFormat="1" applyFont="1" applyBorder="1" applyAlignment="1">
      <alignment horizontal="left" vertical="center"/>
    </xf>
    <xf numFmtId="171" fontId="5" fillId="0" borderId="15" xfId="1" applyNumberFormat="1" applyFont="1" applyBorder="1" applyAlignment="1">
      <alignment horizontal="left" vertical="center"/>
    </xf>
    <xf numFmtId="171" fontId="5" fillId="0" borderId="42" xfId="1" applyNumberFormat="1" applyFont="1" applyBorder="1" applyAlignment="1">
      <alignment horizontal="left" vertical="center"/>
    </xf>
    <xf numFmtId="171" fontId="5" fillId="0" borderId="27" xfId="1" applyNumberFormat="1" applyFont="1" applyFill="1" applyBorder="1" applyAlignment="1">
      <alignment horizontal="left" vertical="center"/>
    </xf>
    <xf numFmtId="171" fontId="5" fillId="0" borderId="28" xfId="1" applyNumberFormat="1" applyFont="1" applyFill="1" applyBorder="1" applyAlignment="1">
      <alignment horizontal="left" vertical="center"/>
    </xf>
    <xf numFmtId="171" fontId="5" fillId="0" borderId="14" xfId="1" applyNumberFormat="1" applyFont="1" applyFill="1" applyBorder="1" applyAlignment="1">
      <alignment horizontal="left" vertical="center"/>
    </xf>
    <xf numFmtId="171" fontId="5" fillId="0" borderId="15" xfId="1" applyNumberFormat="1" applyFont="1" applyFill="1" applyBorder="1" applyAlignment="1">
      <alignment horizontal="left" vertical="center"/>
    </xf>
    <xf numFmtId="171" fontId="5" fillId="0" borderId="41" xfId="1" applyNumberFormat="1" applyFont="1" applyFill="1" applyBorder="1" applyAlignment="1">
      <alignment horizontal="left" vertical="center"/>
    </xf>
    <xf numFmtId="171" fontId="5" fillId="0" borderId="42" xfId="1" applyNumberFormat="1" applyFont="1" applyFill="1" applyBorder="1" applyAlignment="1">
      <alignment horizontal="left" vertical="center"/>
    </xf>
    <xf numFmtId="171" fontId="5" fillId="0" borderId="16" xfId="1" applyNumberFormat="1" applyFont="1" applyBorder="1" applyAlignment="1">
      <alignment horizontal="left" vertical="center"/>
    </xf>
    <xf numFmtId="171" fontId="5" fillId="0" borderId="17" xfId="1" applyNumberFormat="1" applyFont="1" applyBorder="1" applyAlignment="1">
      <alignment horizontal="left" vertical="center"/>
    </xf>
    <xf numFmtId="9" fontId="5" fillId="0" borderId="14" xfId="5" applyFont="1" applyFill="1" applyBorder="1" applyAlignment="1">
      <alignment horizontal="right" vertical="center"/>
    </xf>
    <xf numFmtId="44" fontId="5" fillId="0" borderId="41" xfId="1" applyFont="1" applyBorder="1" applyAlignment="1">
      <alignment horizontal="left" vertical="center"/>
    </xf>
    <xf numFmtId="44" fontId="5" fillId="0" borderId="42" xfId="1" applyFont="1" applyBorder="1" applyAlignment="1">
      <alignment horizontal="left" vertical="center"/>
    </xf>
    <xf numFmtId="44" fontId="5" fillId="0" borderId="46" xfId="0" applyNumberFormat="1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5" fillId="0" borderId="49" xfId="0" applyFont="1" applyBorder="1" applyAlignment="1">
      <alignment vertical="center"/>
    </xf>
    <xf numFmtId="0" fontId="5" fillId="0" borderId="50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169" fontId="5" fillId="0" borderId="15" xfId="0" applyNumberFormat="1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169" fontId="5" fillId="0" borderId="17" xfId="0" applyNumberFormat="1" applyFont="1" applyBorder="1" applyAlignment="1">
      <alignment vertical="center"/>
    </xf>
    <xf numFmtId="168" fontId="11" fillId="0" borderId="15" xfId="0" applyNumberFormat="1" applyFont="1" applyBorder="1" applyAlignment="1">
      <alignment horizontal="left" vertical="center"/>
    </xf>
    <xf numFmtId="43" fontId="5" fillId="0" borderId="15" xfId="3" applyFont="1" applyBorder="1" applyAlignment="1">
      <alignment horizontal="left" vertical="center"/>
    </xf>
    <xf numFmtId="44" fontId="5" fillId="0" borderId="15" xfId="1" applyFont="1" applyBorder="1" applyAlignment="1">
      <alignment horizontal="left" vertical="center"/>
    </xf>
    <xf numFmtId="167" fontId="12" fillId="0" borderId="15" xfId="1" quotePrefix="1" applyNumberFormat="1" applyFont="1" applyBorder="1" applyAlignment="1">
      <alignment horizontal="left" vertical="center"/>
    </xf>
    <xf numFmtId="0" fontId="10" fillId="9" borderId="49" xfId="0" applyFont="1" applyFill="1" applyBorder="1" applyAlignment="1">
      <alignment horizontal="left" vertical="center"/>
    </xf>
    <xf numFmtId="0" fontId="10" fillId="9" borderId="9" xfId="0" applyFont="1" applyFill="1" applyBorder="1" applyAlignment="1">
      <alignment horizontal="left" vertical="center"/>
    </xf>
    <xf numFmtId="3" fontId="9" fillId="0" borderId="15" xfId="4" applyNumberFormat="1" applyFont="1" applyBorder="1" applyAlignment="1">
      <alignment horizontal="right" vertical="center"/>
    </xf>
    <xf numFmtId="3" fontId="9" fillId="0" borderId="17" xfId="4" applyNumberFormat="1" applyFont="1" applyBorder="1" applyAlignment="1">
      <alignment horizontal="right" vertical="center"/>
    </xf>
    <xf numFmtId="164" fontId="9" fillId="0" borderId="15" xfId="4" applyNumberFormat="1" applyFont="1" applyBorder="1" applyAlignment="1">
      <alignment horizontal="right" vertical="center"/>
    </xf>
    <xf numFmtId="42" fontId="8" fillId="5" borderId="16" xfId="0" applyNumberFormat="1" applyFont="1" applyFill="1" applyBorder="1" applyAlignment="1">
      <alignment horizontal="left" vertical="center"/>
    </xf>
    <xf numFmtId="1" fontId="9" fillId="0" borderId="17" xfId="4" applyNumberFormat="1" applyFont="1" applyBorder="1" applyAlignment="1">
      <alignment horizontal="right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vertical="center"/>
    </xf>
    <xf numFmtId="9" fontId="7" fillId="3" borderId="13" xfId="0" applyNumberFormat="1" applyFont="1" applyFill="1" applyBorder="1" applyAlignment="1">
      <alignment horizontal="right" vertical="center"/>
    </xf>
    <xf numFmtId="9" fontId="7" fillId="3" borderId="14" xfId="0" applyNumberFormat="1" applyFont="1" applyFill="1" applyBorder="1" applyAlignment="1">
      <alignment vertical="center"/>
    </xf>
    <xf numFmtId="42" fontId="7" fillId="0" borderId="14" xfId="0" applyNumberFormat="1" applyFont="1" applyBorder="1" applyAlignment="1">
      <alignment horizontal="left" vertical="center"/>
    </xf>
    <xf numFmtId="42" fontId="7" fillId="0" borderId="16" xfId="0" applyNumberFormat="1" applyFont="1" applyBorder="1" applyAlignment="1">
      <alignment horizontal="left" vertical="center"/>
    </xf>
    <xf numFmtId="164" fontId="5" fillId="0" borderId="15" xfId="0" applyNumberFormat="1" applyFont="1" applyBorder="1" applyAlignment="1">
      <alignment horizontal="right" vertical="center"/>
    </xf>
    <xf numFmtId="1" fontId="5" fillId="0" borderId="47" xfId="0" applyNumberFormat="1" applyFont="1" applyBorder="1" applyAlignment="1">
      <alignment horizontal="right" vertical="center"/>
    </xf>
    <xf numFmtId="1" fontId="5" fillId="0" borderId="48" xfId="0" applyNumberFormat="1" applyFont="1" applyBorder="1" applyAlignment="1">
      <alignment horizontal="right" vertical="center"/>
    </xf>
    <xf numFmtId="173" fontId="5" fillId="0" borderId="17" xfId="0" applyNumberFormat="1" applyFont="1" applyBorder="1" applyAlignment="1">
      <alignment horizontal="left" vertical="center"/>
    </xf>
    <xf numFmtId="0" fontId="20" fillId="11" borderId="0" xfId="0" applyFont="1" applyFill="1" applyAlignment="1">
      <alignment wrapText="1"/>
    </xf>
    <xf numFmtId="166" fontId="5" fillId="0" borderId="15" xfId="3" applyNumberFormat="1" applyFont="1" applyBorder="1" applyAlignment="1">
      <alignment horizontal="left" vertical="center"/>
    </xf>
    <xf numFmtId="0" fontId="0" fillId="0" borderId="0" xfId="0" applyAlignment="1">
      <alignment wrapText="1"/>
    </xf>
    <xf numFmtId="0" fontId="17" fillId="0" borderId="0" xfId="32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7" fillId="0" borderId="0" xfId="0" applyFont="1"/>
    <xf numFmtId="0" fontId="22" fillId="0" borderId="0" xfId="0" applyFont="1" applyAlignment="1">
      <alignment vertical="center"/>
    </xf>
    <xf numFmtId="0" fontId="17" fillId="0" borderId="5" xfId="32" applyBorder="1" applyAlignment="1">
      <alignment wrapText="1"/>
    </xf>
    <xf numFmtId="0" fontId="16" fillId="8" borderId="34" xfId="2" applyFont="1" applyFill="1" applyBorder="1" applyAlignment="1">
      <alignment vertical="center"/>
    </xf>
    <xf numFmtId="0" fontId="5" fillId="3" borderId="3" xfId="0" applyFont="1" applyFill="1" applyBorder="1" applyAlignment="1">
      <alignment horizontal="left" vertical="center"/>
    </xf>
    <xf numFmtId="0" fontId="20" fillId="3" borderId="6" xfId="0" applyFont="1" applyFill="1" applyBorder="1" applyAlignment="1">
      <alignment wrapText="1"/>
    </xf>
    <xf numFmtId="0" fontId="21" fillId="0" borderId="0" xfId="0" applyFont="1" applyAlignment="1">
      <alignment vertical="center" wrapText="1"/>
    </xf>
    <xf numFmtId="14" fontId="5" fillId="0" borderId="50" xfId="0" applyNumberFormat="1" applyFont="1" applyBorder="1" applyAlignment="1">
      <alignment vertical="center"/>
    </xf>
    <xf numFmtId="14" fontId="5" fillId="0" borderId="14" xfId="0" applyNumberFormat="1" applyFont="1" applyBorder="1" applyAlignment="1">
      <alignment vertical="center"/>
    </xf>
    <xf numFmtId="14" fontId="5" fillId="0" borderId="16" xfId="0" applyNumberFormat="1" applyFont="1" applyBorder="1" applyAlignment="1">
      <alignment vertical="center"/>
    </xf>
    <xf numFmtId="0" fontId="0" fillId="0" borderId="0" xfId="0" applyAlignment="1">
      <alignment horizontal="left" wrapText="1"/>
    </xf>
    <xf numFmtId="0" fontId="13" fillId="8" borderId="23" xfId="0" applyFont="1" applyFill="1" applyBorder="1" applyAlignment="1">
      <alignment horizontal="center" vertical="center"/>
    </xf>
    <xf numFmtId="0" fontId="13" fillId="8" borderId="24" xfId="0" applyFont="1" applyFill="1" applyBorder="1" applyAlignment="1">
      <alignment horizontal="center" vertical="center"/>
    </xf>
    <xf numFmtId="0" fontId="13" fillId="8" borderId="25" xfId="0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3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7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1" fillId="0" borderId="14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6" fillId="7" borderId="10" xfId="2" applyFont="1" applyFill="1" applyBorder="1" applyAlignment="1">
      <alignment horizontal="center" vertical="center"/>
    </xf>
    <xf numFmtId="0" fontId="6" fillId="7" borderId="11" xfId="2" applyFont="1" applyFill="1" applyBorder="1" applyAlignment="1">
      <alignment horizontal="center" vertical="center"/>
    </xf>
    <xf numFmtId="0" fontId="6" fillId="7" borderId="12" xfId="2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14" fontId="7" fillId="7" borderId="33" xfId="0" applyNumberFormat="1" applyFont="1" applyFill="1" applyBorder="1" applyAlignment="1">
      <alignment horizontal="center" vertical="center"/>
    </xf>
    <xf numFmtId="14" fontId="7" fillId="7" borderId="34" xfId="0" applyNumberFormat="1" applyFont="1" applyFill="1" applyBorder="1" applyAlignment="1">
      <alignment horizontal="center" vertical="center"/>
    </xf>
    <xf numFmtId="14" fontId="10" fillId="10" borderId="33" xfId="0" applyNumberFormat="1" applyFont="1" applyFill="1" applyBorder="1" applyAlignment="1">
      <alignment horizontal="center" vertical="center"/>
    </xf>
    <xf numFmtId="14" fontId="10" fillId="10" borderId="34" xfId="0" applyNumberFormat="1" applyFont="1" applyFill="1" applyBorder="1" applyAlignment="1">
      <alignment horizontal="center" vertical="center"/>
    </xf>
    <xf numFmtId="0" fontId="11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5" fillId="0" borderId="52" xfId="0" applyFont="1" applyBorder="1" applyAlignment="1">
      <alignment horizontal="center"/>
    </xf>
    <xf numFmtId="165" fontId="9" fillId="0" borderId="9" xfId="4" applyNumberFormat="1" applyFont="1" applyFill="1" applyBorder="1" applyAlignment="1">
      <alignment horizontal="left" vertical="center"/>
    </xf>
    <xf numFmtId="165" fontId="9" fillId="0" borderId="16" xfId="4" applyNumberFormat="1" applyFont="1" applyFill="1" applyBorder="1" applyAlignment="1">
      <alignment horizontal="left" vertical="center"/>
    </xf>
    <xf numFmtId="0" fontId="9" fillId="0" borderId="13" xfId="2" applyFont="1" applyBorder="1" applyAlignment="1">
      <alignment horizontal="left" vertical="center"/>
    </xf>
    <xf numFmtId="0" fontId="9" fillId="0" borderId="14" xfId="2" applyFont="1" applyBorder="1" applyAlignment="1">
      <alignment horizontal="left" vertical="center"/>
    </xf>
    <xf numFmtId="165" fontId="9" fillId="0" borderId="13" xfId="4" applyNumberFormat="1" applyFont="1" applyBorder="1" applyAlignment="1">
      <alignment horizontal="left" vertical="center" wrapText="1"/>
    </xf>
    <xf numFmtId="165" fontId="9" fillId="0" borderId="14" xfId="4" applyNumberFormat="1" applyFont="1" applyBorder="1" applyAlignment="1">
      <alignment horizontal="left" vertical="center" wrapText="1"/>
    </xf>
    <xf numFmtId="0" fontId="9" fillId="0" borderId="9" xfId="2" applyFont="1" applyBorder="1" applyAlignment="1">
      <alignment horizontal="left" vertical="center" wrapText="1"/>
    </xf>
    <xf numFmtId="0" fontId="9" fillId="0" borderId="16" xfId="2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165" fontId="9" fillId="0" borderId="13" xfId="4" applyNumberFormat="1" applyFont="1" applyBorder="1" applyAlignment="1">
      <alignment horizontal="left" vertical="center"/>
    </xf>
    <xf numFmtId="165" fontId="9" fillId="0" borderId="14" xfId="4" applyNumberFormat="1" applyFont="1" applyBorder="1" applyAlignment="1">
      <alignment horizontal="left" vertical="center"/>
    </xf>
    <xf numFmtId="0" fontId="5" fillId="0" borderId="26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0" fontId="5" fillId="0" borderId="32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9" xfId="2" applyFont="1" applyBorder="1" applyAlignment="1">
      <alignment horizontal="left" vertical="center"/>
    </xf>
    <xf numFmtId="0" fontId="9" fillId="0" borderId="16" xfId="2" applyFont="1" applyBorder="1" applyAlignment="1">
      <alignment horizontal="left" vertical="center"/>
    </xf>
    <xf numFmtId="0" fontId="11" fillId="0" borderId="50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</cellXfs>
  <cellStyles count="33">
    <cellStyle name="Comma" xfId="3" builtinId="3"/>
    <cellStyle name="Comma 2 2" xfId="4" xr:uid="{00000000-0005-0000-0000-000001000000}"/>
    <cellStyle name="Currency" xfId="1" builtinId="4"/>
    <cellStyle name="Followed Hyperlink" xfId="7" builtinId="9" hidden="1"/>
    <cellStyle name="Followed Hyperlink" xfId="9" builtinId="9" hidden="1"/>
    <cellStyle name="Followed Hyperlink" xfId="15" builtinId="9" hidden="1"/>
    <cellStyle name="Followed Hyperlink" xfId="19" builtinId="9" hidden="1"/>
    <cellStyle name="Followed Hyperlink" xfId="21" builtinId="9" hidden="1"/>
    <cellStyle name="Followed Hyperlink" xfId="17" builtinId="9" hidden="1"/>
    <cellStyle name="Followed Hyperlink" xfId="25" builtinId="9" hidden="1"/>
    <cellStyle name="Followed Hyperlink" xfId="27" builtinId="9" hidden="1"/>
    <cellStyle name="Followed Hyperlink" xfId="23" builtinId="9" hidden="1"/>
    <cellStyle name="Followed Hyperlink" xfId="11" builtinId="9" hidden="1"/>
    <cellStyle name="Followed Hyperlink" xfId="13" builtinId="9" hidden="1"/>
    <cellStyle name="Followed Hyperlink" xfId="29" builtinId="9" hidden="1"/>
    <cellStyle name="Followed Hyperlink" xfId="31" builtinId="9" hidden="1"/>
    <cellStyle name="Hyperlink" xfId="6" builtinId="8" hidden="1"/>
    <cellStyle name="Hyperlink" xfId="10" builtinId="8" hidden="1"/>
    <cellStyle name="Hyperlink" xfId="12" builtinId="8" hidden="1"/>
    <cellStyle name="Hyperlink" xfId="22" builtinId="8" hidden="1"/>
    <cellStyle name="Hyperlink" xfId="14" builtinId="8" hidden="1"/>
    <cellStyle name="Hyperlink" xfId="18" builtinId="8" hidden="1"/>
    <cellStyle name="Hyperlink" xfId="8" builtinId="8" hidden="1"/>
    <cellStyle name="Hyperlink" xfId="20" builtinId="8" hidden="1"/>
    <cellStyle name="Hyperlink" xfId="24" builtinId="8" hidden="1"/>
    <cellStyle name="Hyperlink" xfId="26" builtinId="8" hidden="1"/>
    <cellStyle name="Hyperlink" xfId="28" builtinId="8" hidden="1"/>
    <cellStyle name="Hyperlink" xfId="16" builtinId="8" hidden="1"/>
    <cellStyle name="Hyperlink" xfId="30" builtinId="8" hidden="1"/>
    <cellStyle name="Hyperlink" xfId="32" builtinId="8"/>
    <cellStyle name="Normal" xfId="0" builtinId="0"/>
    <cellStyle name="Normal 2 2" xfId="2" xr:uid="{00000000-0005-0000-0000-00001E000000}"/>
    <cellStyle name="Percent" xfId="5" builtinId="5"/>
  </cellStyles>
  <dxfs count="1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3"/>
      <tableStyleElement type="headerRow" dxfId="12"/>
    </tableStyle>
  </tableStyles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</a:t>
            </a:r>
            <a:r>
              <a:rPr lang="en-US" baseline="0"/>
              <a:t> Month History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'Filtered Data'!$C$2</c:f>
              <c:strCache>
                <c:ptCount val="1"/>
                <c:pt idx="0">
                  <c:v>Value Traded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'Filtered Data'!$A$3:$A$125</c:f>
              <c:numCache>
                <c:formatCode>m/d/yyyy</c:formatCode>
                <c:ptCount val="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</c:numCache>
            </c:numRef>
          </c:cat>
          <c:val>
            <c:numRef>
              <c:f>'Filtered Data'!$C$3:$C$125</c:f>
              <c:numCache>
                <c:formatCode>_("$"* #,##0.00_);_("$"* \(#,##0.00\);_("$"* "-"??_);_(@_)</c:formatCode>
                <c:ptCount val="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E-4B6C-B4DB-8E6D88C80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"/>
        <c:axId val="1425840112"/>
        <c:axId val="1425841200"/>
      </c:barChart>
      <c:lineChart>
        <c:grouping val="standard"/>
        <c:varyColors val="0"/>
        <c:ser>
          <c:idx val="0"/>
          <c:order val="0"/>
          <c:tx>
            <c:strRef>
              <c:f>'Filtered Data'!$B$2</c:f>
              <c:strCache>
                <c:ptCount val="1"/>
                <c:pt idx="0">
                  <c:v>OHLC Average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ysClr val="window" lastClr="FFFFFF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'Filtered Data'!$A$3:$A$125</c:f>
              <c:numCache>
                <c:formatCode>m/d/yyyy</c:formatCode>
                <c:ptCount val="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</c:numCache>
            </c:numRef>
          </c:cat>
          <c:val>
            <c:numRef>
              <c:f>'Filtered Data'!$B$3:$B$125</c:f>
              <c:numCache>
                <c:formatCode>_("$"* #,##0.00_);_("$"* \(#,##0.00\);_("$"* "-"??_);_(@_)</c:formatCode>
                <c:ptCount val="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2E-4B6C-B4DB-8E6D88C80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855888"/>
        <c:axId val="1425830864"/>
      </c:lineChart>
      <c:catAx>
        <c:axId val="1425840112"/>
        <c:scaling>
          <c:orientation val="minMax"/>
        </c:scaling>
        <c:delete val="0"/>
        <c:axPos val="b"/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58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841200"/>
        <c:crosses val="autoZero"/>
        <c:auto val="0"/>
        <c:lblAlgn val="ctr"/>
        <c:lblOffset val="100"/>
        <c:noMultiLvlLbl val="0"/>
      </c:catAx>
      <c:valAx>
        <c:axId val="142584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840112"/>
        <c:crosses val="autoZero"/>
        <c:crossBetween val="between"/>
        <c:dispUnits>
          <c:builtInUnit val="thousands"/>
        </c:dispUnits>
      </c:valAx>
      <c:valAx>
        <c:axId val="1425830864"/>
        <c:scaling>
          <c:orientation val="minMax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855888"/>
        <c:crosses val="max"/>
        <c:crossBetween val="between"/>
      </c:valAx>
      <c:catAx>
        <c:axId val="14258558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25830864"/>
        <c:crosses val="autoZero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 Day History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ysClr val="window" lastClr="FFFFFF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4.7173917352722437E-2"/>
          <c:y val="0.27943217425421585"/>
          <c:w val="0.91401582127117431"/>
          <c:h val="0.63670850351084018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'Filtered Data'!$G$2</c:f>
              <c:strCache>
                <c:ptCount val="1"/>
                <c:pt idx="0">
                  <c:v>Value Traded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'Filtered Data'!$E$3:$E$24</c:f>
              <c:numCache>
                <c:formatCode>m/d/yyyy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cat>
          <c:val>
            <c:numRef>
              <c:f>'Filtered Data'!$G$3:$G$24</c:f>
              <c:numCache>
                <c:formatCode>_("$"* #,##0.00_);_("$"* \(#,##0.00\);_("$"*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4B-40A8-ADFD-C377C7285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"/>
        <c:axId val="1425833040"/>
        <c:axId val="1425835760"/>
      </c:barChart>
      <c:lineChart>
        <c:grouping val="standard"/>
        <c:varyColors val="0"/>
        <c:ser>
          <c:idx val="0"/>
          <c:order val="0"/>
          <c:tx>
            <c:strRef>
              <c:f>'Filtered Data'!$F$2</c:f>
              <c:strCache>
                <c:ptCount val="1"/>
                <c:pt idx="0">
                  <c:v>OHLC Average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ysClr val="window" lastClr="FFFFFF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'Filtered Data'!$E$3:$E$24</c:f>
              <c:numCache>
                <c:formatCode>m/d/yyyy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cat>
          <c:val>
            <c:numRef>
              <c:f>'Filtered Data'!$F$3:$F$24</c:f>
              <c:numCache>
                <c:formatCode>_("$"* #,##0.00_);_("$"* \(#,##0.00\);_("$"*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B4B-40A8-ADFD-C377C7285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846640"/>
        <c:axId val="1425851536"/>
      </c:lineChart>
      <c:catAx>
        <c:axId val="1425833040"/>
        <c:scaling>
          <c:orientation val="minMax"/>
        </c:scaling>
        <c:delete val="0"/>
        <c:axPos val="b"/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835760"/>
        <c:crosses val="autoZero"/>
        <c:auto val="0"/>
        <c:lblAlgn val="ctr"/>
        <c:lblOffset val="100"/>
        <c:noMultiLvlLbl val="0"/>
      </c:catAx>
      <c:valAx>
        <c:axId val="14258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833040"/>
        <c:crosses val="autoZero"/>
        <c:crossBetween val="between"/>
        <c:dispUnits>
          <c:builtInUnit val="thousands"/>
        </c:dispUnits>
      </c:valAx>
      <c:valAx>
        <c:axId val="1425851536"/>
        <c:scaling>
          <c:orientation val="minMax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846640"/>
        <c:crosses val="max"/>
        <c:crossBetween val="between"/>
      </c:valAx>
      <c:catAx>
        <c:axId val="14258466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25851536"/>
        <c:crosses val="autoZero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720</xdr:colOff>
      <xdr:row>0</xdr:row>
      <xdr:rowOff>196272</xdr:rowOff>
    </xdr:from>
    <xdr:to>
      <xdr:col>16</xdr:col>
      <xdr:colOff>11545</xdr:colOff>
      <xdr:row>45</xdr:row>
      <xdr:rowOff>11545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5954460" y="196272"/>
          <a:ext cx="11290965" cy="96120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u="sng"/>
            <a:t>Company Needs</a:t>
          </a:r>
          <a:r>
            <a:rPr lang="en-US" sz="1100"/>
            <a:t>:</a:t>
          </a:r>
        </a:p>
        <a:p>
          <a:pPr algn="l"/>
          <a:r>
            <a:rPr lang="en-US" sz="1100" b="0" u="none"/>
            <a:t>EXAMINE</a:t>
          </a:r>
          <a:r>
            <a:rPr lang="en-US" sz="1100" b="0" u="none" baseline="0"/>
            <a:t> COMPANY MD&amp;A AND WEBSITE</a:t>
          </a:r>
          <a:endParaRPr lang="en-US" sz="1100" b="0" u="none"/>
        </a:p>
        <a:p>
          <a:pPr algn="ctr"/>
          <a:endParaRPr lang="en-US" sz="1100" b="1" u="sng"/>
        </a:p>
        <a:p>
          <a:pPr algn="ctr"/>
          <a:r>
            <a:rPr lang="en-US" sz="1100" b="1" u="sng"/>
            <a:t>Financing</a:t>
          </a:r>
          <a:r>
            <a:rPr lang="en-US" sz="1100" b="1" u="sng" baseline="0"/>
            <a:t> Activities:</a:t>
          </a:r>
        </a:p>
        <a:p>
          <a:pPr algn="l"/>
          <a:r>
            <a:rPr lang="en-US" sz="1100" b="0" u="none" baseline="0"/>
            <a:t>DISCUSS DEBT, LOANS, INTEREST, AND TERMS. </a:t>
          </a:r>
        </a:p>
        <a:p>
          <a:pPr algn="l"/>
          <a:endParaRPr lang="en-US" sz="1100" b="0" u="none" baseline="0"/>
        </a:p>
        <a:p>
          <a:pPr algn="l"/>
          <a:r>
            <a:rPr lang="en-US" sz="1100" b="0" u="none" baseline="0"/>
            <a:t>WARRANTS, PROMISSORY AND CONVERTIBLE NOTES, PREFERRED SHARE TERMS</a:t>
          </a:r>
          <a:endParaRPr lang="en-US" sz="1100" b="0" u="sng" baseline="0"/>
        </a:p>
        <a:p>
          <a:pPr algn="ctr"/>
          <a:endParaRPr lang="en-US" sz="1100" b="1" u="sng" baseline="0"/>
        </a:p>
        <a:p>
          <a:pPr algn="ctr"/>
          <a:r>
            <a:rPr lang="en-US" sz="1100" b="1" u="sng" baseline="0"/>
            <a:t>News Updates:</a:t>
          </a:r>
        </a:p>
        <a:p>
          <a:pPr algn="l"/>
          <a:endParaRPr lang="en-US" sz="1100" b="0" u="none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YAHOO FINANCE, COMPANY WEBSITE AND/OR INVESTOR RELATIONS, FILINGS (8K's) etc</a:t>
          </a:r>
        </a:p>
        <a:p>
          <a:endParaRPr lang="en-US" sz="1100" b="0" u="non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TIMES OF VOLUME SPIKES AND TRADING ACTIVITY SPIKES, DETERMINE IF RELATED TO COMPANY ANOUNCEMENTS AND PROVIDE DETAILS AS APPLICABLE</a:t>
          </a:r>
          <a:endParaRPr lang="en-US" sz="1100" b="0" u="none"/>
        </a:p>
      </xdr:txBody>
    </xdr:sp>
    <xdr:clientData/>
  </xdr:twoCellAnchor>
  <xdr:twoCellAnchor>
    <xdr:from>
      <xdr:col>0</xdr:col>
      <xdr:colOff>184726</xdr:colOff>
      <xdr:row>26</xdr:row>
      <xdr:rowOff>69273</xdr:rowOff>
    </xdr:from>
    <xdr:to>
      <xdr:col>10</xdr:col>
      <xdr:colOff>0</xdr:colOff>
      <xdr:row>44</xdr:row>
      <xdr:rowOff>173181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10</xdr:row>
      <xdr:rowOff>0</xdr:rowOff>
    </xdr:from>
    <xdr:to>
      <xdr:col>9</xdr:col>
      <xdr:colOff>2112819</xdr:colOff>
      <xdr:row>25</xdr:row>
      <xdr:rowOff>184727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134471</xdr:colOff>
      <xdr:row>0</xdr:row>
      <xdr:rowOff>89647</xdr:rowOff>
    </xdr:from>
    <xdr:to>
      <xdr:col>6</xdr:col>
      <xdr:colOff>0</xdr:colOff>
      <xdr:row>4</xdr:row>
      <xdr:rowOff>104589</xdr:rowOff>
    </xdr:to>
    <xdr:sp macro="[0]!Macro4" textlink="">
      <xdr:nvSpPr>
        <xdr:cNvPr id="3" name="Rectangle 2" descr="95dee960-8496-48a9-a44e-87347373680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4471" y="89647"/>
          <a:ext cx="3175000" cy="762001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Batang" panose="02030600000101010101" pitchFamily="18" charset="-127"/>
              <a:ea typeface="Batang" panose="02030600000101010101" pitchFamily="18" charset="-127"/>
            </a:rPr>
            <a:t>Copy</a:t>
          </a:r>
          <a:r>
            <a:rPr lang="en-US" sz="1800" b="1" baseline="0">
              <a:latin typeface="Batang" panose="02030600000101010101" pitchFamily="18" charset="-127"/>
              <a:ea typeface="Batang" panose="02030600000101010101" pitchFamily="18" charset="-127"/>
            </a:rPr>
            <a:t> 6 month data, then click here</a:t>
          </a:r>
          <a:endParaRPr lang="en-US" sz="1800" b="1">
            <a:latin typeface="Batang" panose="02030600000101010101" pitchFamily="18" charset="-127"/>
            <a:ea typeface="Batang" panose="02030600000101010101" pitchFamily="18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2"/>
  <sheetViews>
    <sheetView workbookViewId="0">
      <selection activeCell="A23" sqref="A23"/>
    </sheetView>
  </sheetViews>
  <sheetFormatPr defaultColWidth="8.85546875" defaultRowHeight="15"/>
  <cols>
    <col min="1" max="1" width="116.42578125" style="21" bestFit="1" customWidth="1"/>
  </cols>
  <sheetData>
    <row r="1" spans="1:1">
      <c r="A1" s="21" t="s">
        <v>0</v>
      </c>
    </row>
    <row r="2" spans="1:1">
      <c r="A2" s="21" t="s">
        <v>1</v>
      </c>
    </row>
    <row r="3" spans="1:1">
      <c r="A3" s="21" t="s">
        <v>2</v>
      </c>
    </row>
    <row r="4" spans="1:1">
      <c r="A4" s="21" t="s">
        <v>3</v>
      </c>
    </row>
    <row r="5" spans="1:1">
      <c r="A5" s="21" t="s">
        <v>4</v>
      </c>
    </row>
    <row r="6" spans="1:1">
      <c r="A6" s="21" t="s">
        <v>5</v>
      </c>
    </row>
    <row r="7" spans="1:1">
      <c r="A7" s="21" t="s">
        <v>6</v>
      </c>
    </row>
    <row r="8" spans="1:1">
      <c r="A8" s="21" t="s">
        <v>7</v>
      </c>
    </row>
    <row r="9" spans="1:1">
      <c r="A9" s="21" t="s">
        <v>8</v>
      </c>
    </row>
    <row r="10" spans="1:1">
      <c r="A10" s="21" t="s">
        <v>9</v>
      </c>
    </row>
    <row r="11" spans="1:1">
      <c r="A11" s="21" t="s">
        <v>10</v>
      </c>
    </row>
    <row r="12" spans="1:1">
      <c r="A12" s="21" t="s">
        <v>11</v>
      </c>
    </row>
    <row r="13" spans="1:1">
      <c r="A13" s="21" t="s">
        <v>12</v>
      </c>
    </row>
    <row r="16" spans="1:1">
      <c r="A16" s="21" t="s">
        <v>13</v>
      </c>
    </row>
    <row r="17" spans="1:1">
      <c r="A17" s="21" t="s">
        <v>14</v>
      </c>
    </row>
    <row r="18" spans="1:1">
      <c r="A18" s="21" t="s">
        <v>15</v>
      </c>
    </row>
    <row r="19" spans="1:1">
      <c r="A19" s="21" t="s">
        <v>16</v>
      </c>
    </row>
    <row r="20" spans="1:1">
      <c r="A20" s="21" t="s">
        <v>17</v>
      </c>
    </row>
    <row r="21" spans="1:1">
      <c r="A21" s="21" t="s">
        <v>18</v>
      </c>
    </row>
    <row r="22" spans="1:1">
      <c r="A22" s="21" t="s">
        <v>19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R101"/>
  <sheetViews>
    <sheetView tabSelected="1" topLeftCell="A56" zoomScale="40" zoomScaleNormal="40" zoomScaleSheetLayoutView="50" workbookViewId="0">
      <selection activeCell="H66" sqref="G66:H66"/>
    </sheetView>
  </sheetViews>
  <sheetFormatPr defaultColWidth="8.85546875" defaultRowHeight="17.25"/>
  <cols>
    <col min="1" max="1" width="2.7109375" style="3" customWidth="1"/>
    <col min="2" max="2" width="36.85546875" style="3" customWidth="1"/>
    <col min="3" max="3" width="17.85546875" style="3" bestFit="1" customWidth="1"/>
    <col min="4" max="4" width="15.140625" style="3" bestFit="1" customWidth="1"/>
    <col min="5" max="5" width="27.28515625" style="3" customWidth="1"/>
    <col min="6" max="7" width="4.7109375" style="3" customWidth="1"/>
    <col min="8" max="8" width="53" style="3" customWidth="1"/>
    <col min="9" max="9" width="27.7109375" style="3" customWidth="1"/>
    <col min="10" max="10" width="30.28515625" style="3" customWidth="1"/>
    <col min="11" max="11" width="4.7109375" style="3" customWidth="1"/>
    <col min="12" max="13" width="28.85546875" style="3" customWidth="1"/>
    <col min="14" max="14" width="32.85546875" style="3" bestFit="1" customWidth="1"/>
    <col min="15" max="16" width="34.42578125" style="3" bestFit="1" customWidth="1"/>
    <col min="17" max="16384" width="8.85546875" style="3"/>
  </cols>
  <sheetData>
    <row r="1" spans="2:18" ht="18" thickBot="1">
      <c r="B1" s="20"/>
      <c r="C1" s="20"/>
      <c r="D1" s="20"/>
      <c r="E1" s="5"/>
    </row>
    <row r="2" spans="2:18" ht="36.950000000000003" customHeight="1" thickBot="1">
      <c r="B2" s="23" t="s">
        <v>20</v>
      </c>
      <c r="C2" s="24"/>
      <c r="D2" s="24"/>
      <c r="E2" s="24"/>
      <c r="F2" s="24"/>
      <c r="G2" s="24"/>
      <c r="H2" s="147" t="e">
        <f>"Current Price: $"&amp;J78</f>
        <v>#N/A</v>
      </c>
      <c r="I2" s="24"/>
      <c r="J2" s="25"/>
      <c r="R2" s="3" t="s">
        <v>21</v>
      </c>
    </row>
    <row r="3" spans="2:18">
      <c r="B3" s="80" t="s">
        <v>22</v>
      </c>
      <c r="C3" s="81"/>
      <c r="D3" s="82"/>
      <c r="E3" s="82"/>
      <c r="F3" s="82"/>
      <c r="G3" s="82"/>
      <c r="H3" s="139" t="s">
        <v>23</v>
      </c>
      <c r="I3" s="82"/>
      <c r="J3" s="83" t="s">
        <v>24</v>
      </c>
    </row>
    <row r="4" spans="2:18">
      <c r="B4" s="78" t="s">
        <v>25</v>
      </c>
      <c r="C4" s="84"/>
      <c r="D4" s="84"/>
      <c r="E4" s="142" t="s">
        <v>26</v>
      </c>
      <c r="F4" s="84"/>
      <c r="G4" s="84"/>
      <c r="H4" s="139" t="s">
        <v>27</v>
      </c>
      <c r="I4" s="84"/>
      <c r="J4" s="148" t="s">
        <v>28</v>
      </c>
    </row>
    <row r="5" spans="2:18" ht="18" thickBot="1">
      <c r="B5" s="85" t="s">
        <v>29</v>
      </c>
      <c r="C5" s="86"/>
      <c r="D5" s="79"/>
      <c r="E5" s="79"/>
      <c r="F5" s="79"/>
      <c r="G5" s="79"/>
      <c r="H5" s="146" t="s">
        <v>30</v>
      </c>
      <c r="I5" s="79"/>
      <c r="J5" s="149"/>
    </row>
    <row r="6" spans="2:18" ht="18" thickBot="1"/>
    <row r="7" spans="2:18" ht="18" thickBot="1">
      <c r="B7" s="87" t="s">
        <v>31</v>
      </c>
      <c r="C7" s="88"/>
      <c r="D7" s="88"/>
      <c r="E7" s="88"/>
      <c r="F7" s="88"/>
      <c r="G7" s="88"/>
      <c r="H7" s="88"/>
      <c r="I7" s="89" t="s">
        <v>32</v>
      </c>
      <c r="J7" s="90"/>
    </row>
    <row r="8" spans="2:18">
      <c r="B8" s="161"/>
      <c r="C8" s="162"/>
      <c r="D8" s="162"/>
      <c r="E8" s="162"/>
      <c r="F8" s="162"/>
      <c r="G8" s="162"/>
      <c r="H8" s="162"/>
      <c r="I8" s="162"/>
      <c r="J8" s="163"/>
    </row>
    <row r="9" spans="2:18" ht="18" thickBot="1">
      <c r="B9" s="164"/>
      <c r="C9" s="165"/>
      <c r="D9" s="165"/>
      <c r="E9" s="165"/>
      <c r="F9" s="165"/>
      <c r="G9" s="165"/>
      <c r="H9" s="165"/>
      <c r="I9" s="165"/>
      <c r="J9" s="166"/>
    </row>
    <row r="10" spans="2:18">
      <c r="J10" s="5"/>
    </row>
    <row r="11" spans="2:18">
      <c r="B11" s="20"/>
      <c r="C11" s="20"/>
      <c r="D11" s="20"/>
      <c r="E11" s="5"/>
    </row>
    <row r="46" spans="2:16" ht="18" thickBot="1"/>
    <row r="47" spans="2:16" s="12" customFormat="1" ht="36" customHeight="1" thickTop="1" thickBot="1">
      <c r="B47" s="155" t="s">
        <v>33</v>
      </c>
      <c r="C47" s="156"/>
      <c r="D47" s="156"/>
      <c r="E47" s="157"/>
      <c r="G47" s="155" t="s">
        <v>34</v>
      </c>
      <c r="H47" s="156"/>
      <c r="I47" s="156"/>
      <c r="J47" s="157"/>
      <c r="L47" s="155" t="s">
        <v>35</v>
      </c>
      <c r="M47" s="156"/>
      <c r="N47" s="156"/>
      <c r="O47" s="156"/>
      <c r="P47" s="157"/>
    </row>
    <row r="48" spans="2:16" ht="18.75" thickTop="1" thickBot="1">
      <c r="B48" s="184" t="s">
        <v>36</v>
      </c>
      <c r="C48" s="184"/>
      <c r="D48" s="184"/>
      <c r="E48" s="184"/>
      <c r="G48" s="184" t="s">
        <v>37</v>
      </c>
      <c r="H48" s="184"/>
      <c r="I48" s="184"/>
      <c r="J48" s="184"/>
    </row>
    <row r="49" spans="2:16" ht="14.45" customHeight="1">
      <c r="B49" s="172" t="s">
        <v>38</v>
      </c>
      <c r="C49" s="173"/>
      <c r="D49" s="173"/>
      <c r="E49" s="174"/>
      <c r="G49" s="175" t="s">
        <v>39</v>
      </c>
      <c r="H49" s="176"/>
      <c r="I49" s="31" t="s">
        <v>40</v>
      </c>
      <c r="J49" s="32" t="s">
        <v>41</v>
      </c>
      <c r="L49" s="30" t="s">
        <v>42</v>
      </c>
      <c r="M49" s="36"/>
      <c r="N49" s="36"/>
      <c r="O49" s="36"/>
      <c r="P49" s="13" t="s">
        <v>43</v>
      </c>
    </row>
    <row r="50" spans="2:16" ht="14.45" customHeight="1">
      <c r="B50" s="108"/>
      <c r="C50" s="170"/>
      <c r="D50" s="170"/>
      <c r="E50" s="171"/>
      <c r="G50" s="69" t="s">
        <v>44</v>
      </c>
      <c r="H50" s="70"/>
      <c r="I50" s="105">
        <f>SUM(I67:I69)</f>
        <v>0</v>
      </c>
      <c r="J50" s="106">
        <f>SUM(J67:J69)</f>
        <v>0</v>
      </c>
      <c r="L50" s="189" t="s">
        <v>45</v>
      </c>
      <c r="M50" s="190"/>
      <c r="N50" s="190"/>
      <c r="O50" s="190"/>
      <c r="P50" s="124" t="e">
        <f ca="1">AVERAGE(INDEX(Data!F:F,MATCH(BIGNUM,Data!F:F)-30+1):INDEX(Data!F:F,MATCH(BIGNUM,Data!F:F)))</f>
        <v>#N/A</v>
      </c>
    </row>
    <row r="51" spans="2:16" ht="14.45" customHeight="1">
      <c r="B51" s="108"/>
      <c r="C51" s="193"/>
      <c r="D51" s="170"/>
      <c r="E51" s="171"/>
      <c r="G51" s="69" t="s">
        <v>39</v>
      </c>
      <c r="H51" s="70"/>
      <c r="I51" s="107">
        <f>IF($C$4=1,$I$50/3,IF($C$4=2,$I$50/6,IF($C$4=3,$I$50/9,$I$50/12)))</f>
        <v>0</v>
      </c>
      <c r="J51" s="107">
        <f>IF($C$4=1,$J$50/3,IF($C$4=2,$J$50/6,IF($C$4=3,$J$50/9,$J$50/12)))</f>
        <v>0</v>
      </c>
      <c r="L51" s="189" t="s">
        <v>46</v>
      </c>
      <c r="M51" s="190"/>
      <c r="N51" s="190"/>
      <c r="O51" s="190"/>
      <c r="P51" s="124" t="e">
        <f ca="1">AVERAGE(INDEX(Data!F:F,MATCH(BIGNUM,Data!F:F)-60+1):INDEX(Data!F:F,MATCH(BIGNUM,Data!F:F)))</f>
        <v>#N/A</v>
      </c>
    </row>
    <row r="52" spans="2:16" ht="14.45" customHeight="1" thickBot="1">
      <c r="B52" s="112"/>
      <c r="C52" s="170"/>
      <c r="D52" s="170"/>
      <c r="E52" s="171"/>
      <c r="G52" s="71" t="s">
        <v>47</v>
      </c>
      <c r="H52" s="72"/>
      <c r="I52" s="136" t="e">
        <f>IF((($I$55/(-$I$51))*30.4167)&gt;0,(($I$55/(-$I$51))*30.4167), "Infinite")</f>
        <v>#DIV/0!</v>
      </c>
      <c r="J52" s="137" t="e">
        <f>IF((($J$55/(-$J$51))*30.4167)&gt;0,(($J$55/(-$J$51))*30.4167), "Infinite")</f>
        <v>#DIV/0!</v>
      </c>
      <c r="L52" s="189" t="s">
        <v>48</v>
      </c>
      <c r="M52" s="190"/>
      <c r="N52" s="190"/>
      <c r="O52" s="190"/>
      <c r="P52" s="124" t="e">
        <f ca="1">AVERAGE(INDEX(Data!F:F,MATCH(BIGNUM,Data!F:F)-90+1):INDEX(Data!F:F,MATCH(BIGNUM,Data!F:F)))</f>
        <v>#N/A</v>
      </c>
    </row>
    <row r="53" spans="2:16" ht="14.45" customHeight="1" thickBot="1">
      <c r="B53" s="108"/>
      <c r="C53" s="170"/>
      <c r="D53" s="170"/>
      <c r="E53" s="171"/>
      <c r="L53" s="189" t="s">
        <v>49</v>
      </c>
      <c r="M53" s="190"/>
      <c r="N53" s="190"/>
      <c r="O53" s="190"/>
      <c r="P53" s="124" t="e">
        <f ca="1">MIN(INDEX(Data!F:F,MATCH(BIGNUM,Data!F:F)-30+1):INDEX(Data!F:F,MATCH(BIGNUM,Data!F:F)))</f>
        <v>#N/A</v>
      </c>
    </row>
    <row r="54" spans="2:16" ht="14.45" customHeight="1" thickBot="1">
      <c r="B54" s="108"/>
      <c r="C54" s="170"/>
      <c r="D54" s="170"/>
      <c r="E54" s="171"/>
      <c r="G54" s="178" t="s">
        <v>50</v>
      </c>
      <c r="H54" s="179"/>
      <c r="I54" s="31" t="s">
        <v>51</v>
      </c>
      <c r="J54" s="32" t="s">
        <v>41</v>
      </c>
      <c r="L54" s="191" t="s">
        <v>52</v>
      </c>
      <c r="M54" s="192"/>
      <c r="N54" s="192"/>
      <c r="O54" s="192"/>
      <c r="P54" s="125" t="e">
        <f ca="1">MAX(INDEX(Data!F:F,MATCH(BIGNUM,Data!F:F)-30+1):INDEX(Data!F:F,MATCH(BIGNUM,Data!F:F)))</f>
        <v>#N/A</v>
      </c>
    </row>
    <row r="55" spans="2:16" ht="14.45" customHeight="1" thickBot="1">
      <c r="B55" s="108"/>
      <c r="C55" s="170"/>
      <c r="D55" s="170"/>
      <c r="E55" s="171"/>
      <c r="G55" s="158" t="s">
        <v>53</v>
      </c>
      <c r="H55" s="73" t="s">
        <v>54</v>
      </c>
      <c r="I55" s="91"/>
      <c r="J55" s="92"/>
      <c r="L55" s="6"/>
      <c r="M55" s="6"/>
      <c r="N55" s="6"/>
      <c r="O55" s="7"/>
      <c r="P55" s="8"/>
    </row>
    <row r="56" spans="2:16" ht="14.45" customHeight="1" thickBot="1">
      <c r="B56" s="109"/>
      <c r="C56" s="182"/>
      <c r="D56" s="182"/>
      <c r="E56" s="183"/>
      <c r="G56" s="159"/>
      <c r="H56" s="74" t="s">
        <v>55</v>
      </c>
      <c r="I56" s="93"/>
      <c r="J56" s="94"/>
      <c r="L56" s="33" t="s">
        <v>56</v>
      </c>
      <c r="M56" s="37"/>
      <c r="N56" s="37"/>
      <c r="O56" s="37"/>
      <c r="P56" s="14" t="s">
        <v>43</v>
      </c>
    </row>
    <row r="57" spans="2:16" ht="14.45" customHeight="1" thickBot="1">
      <c r="G57" s="159"/>
      <c r="H57" s="74" t="s">
        <v>57</v>
      </c>
      <c r="I57" s="93"/>
      <c r="J57" s="94"/>
      <c r="L57" s="189" t="s">
        <v>45</v>
      </c>
      <c r="M57" s="190"/>
      <c r="N57" s="190"/>
      <c r="O57" s="190"/>
      <c r="P57" s="126" t="e">
        <f ca="1">AVERAGE(INDEX(Data!I:I,MATCH(BIGNUM,Data!I:I)-30+1):INDEX(Data!I:I,MATCH(BIGNUM,Data!I:I)))</f>
        <v>#N/A</v>
      </c>
    </row>
    <row r="58" spans="2:16" ht="14.45" customHeight="1">
      <c r="B58" s="175" t="s">
        <v>58</v>
      </c>
      <c r="C58" s="176"/>
      <c r="D58" s="176"/>
      <c r="E58" s="177"/>
      <c r="G58" s="159"/>
      <c r="H58" s="74" t="s">
        <v>59</v>
      </c>
      <c r="I58" s="93">
        <f>$I$56-$I$57</f>
        <v>0</v>
      </c>
      <c r="J58" s="94">
        <f>$J$56-$J$57</f>
        <v>0</v>
      </c>
      <c r="L58" s="189" t="s">
        <v>46</v>
      </c>
      <c r="M58" s="190"/>
      <c r="N58" s="190"/>
      <c r="O58" s="190"/>
      <c r="P58" s="126" t="e">
        <f ca="1">AVERAGE(INDEX(Data!I:I,MATCH(BIGNUM,Data!I:I)-60+1):INDEX(Data!I:I,MATCH(BIGNUM,Data!I:I)))</f>
        <v>#N/A</v>
      </c>
    </row>
    <row r="59" spans="2:16" ht="14.45" customHeight="1" thickBot="1">
      <c r="B59" s="196"/>
      <c r="C59" s="197"/>
      <c r="D59" s="197"/>
      <c r="E59" s="198"/>
      <c r="G59" s="160"/>
      <c r="H59" s="75" t="s">
        <v>60</v>
      </c>
      <c r="I59" s="93"/>
      <c r="J59" s="95"/>
      <c r="L59" s="189" t="s">
        <v>48</v>
      </c>
      <c r="M59" s="190"/>
      <c r="N59" s="190"/>
      <c r="O59" s="190"/>
      <c r="P59" s="126" t="e">
        <f ca="1">AVERAGE(INDEX(Data!I:I,MATCH(BIGNUM,Data!I:I)-90+1):INDEX(Data!I:I,MATCH(BIGNUM,Data!I:I)))</f>
        <v>#N/A</v>
      </c>
    </row>
    <row r="60" spans="2:16" ht="14.45" customHeight="1" thickBot="1">
      <c r="B60" s="199"/>
      <c r="C60" s="200"/>
      <c r="D60" s="200"/>
      <c r="E60" s="201"/>
      <c r="G60" s="178"/>
      <c r="H60" s="179"/>
      <c r="I60" s="31" t="s">
        <v>61</v>
      </c>
      <c r="J60" s="26" t="s">
        <v>62</v>
      </c>
      <c r="L60" s="194" t="s">
        <v>63</v>
      </c>
      <c r="M60" s="195"/>
      <c r="N60" s="195"/>
      <c r="O60" s="195"/>
      <c r="P60" s="126" t="e">
        <f ca="1">MIN(INDEX(Data!I:I,MATCH(BIGNUM,Data!I:I)-30+1):INDEX(Data!I:I,MATCH(BIGNUM,Data!I:I)))</f>
        <v>#N/A</v>
      </c>
    </row>
    <row r="61" spans="2:16" ht="14.45" customHeight="1">
      <c r="B61" s="199"/>
      <c r="C61" s="200"/>
      <c r="D61" s="200"/>
      <c r="E61" s="201"/>
      <c r="G61" s="167" t="s">
        <v>64</v>
      </c>
      <c r="H61" s="73" t="s">
        <v>65</v>
      </c>
      <c r="I61" s="96"/>
      <c r="J61" s="97"/>
      <c r="L61" s="194" t="s">
        <v>66</v>
      </c>
      <c r="M61" s="195"/>
      <c r="N61" s="195"/>
      <c r="O61" s="195"/>
      <c r="P61" s="126" t="e">
        <f ca="1">MAX(INDEX(Data!I:I,MATCH(BIGNUM,Data!I:I)-30+1):INDEX(Data!I:I,MATCH(BIGNUM,Data!I:I)))</f>
        <v>#N/A</v>
      </c>
    </row>
    <row r="62" spans="2:16" ht="14.45" customHeight="1" thickBot="1">
      <c r="B62" s="199"/>
      <c r="C62" s="200"/>
      <c r="D62" s="200"/>
      <c r="E62" s="201"/>
      <c r="G62" s="168"/>
      <c r="H62" s="74" t="s">
        <v>67</v>
      </c>
      <c r="I62" s="98"/>
      <c r="J62" s="99"/>
      <c r="L62" s="185" t="str">
        <f>"Days traded less than $"&amp;$K$58&amp;" over the last 30 days"</f>
        <v>Days traded less than $ over the last 30 days</v>
      </c>
      <c r="M62" s="186"/>
      <c r="N62" s="186"/>
      <c r="O62" s="127">
        <v>5000</v>
      </c>
      <c r="P62" s="128" t="e">
        <f ca="1">COUNTIF(INDEX(Data!I:I,MATCH(BIGNUM,Data!I:I)-30+1):INDEX(Data!I:I,MATCH(BIGNUM,Data!I:I)),"&lt;"&amp;O62)</f>
        <v>#N/A</v>
      </c>
    </row>
    <row r="63" spans="2:16" ht="14.45" customHeight="1" thickBot="1">
      <c r="B63" s="199"/>
      <c r="C63" s="200"/>
      <c r="D63" s="200"/>
      <c r="E63" s="201"/>
      <c r="G63" s="168"/>
      <c r="H63" s="74" t="s">
        <v>68</v>
      </c>
      <c r="I63" s="98">
        <f>$I$61-$I$62</f>
        <v>0</v>
      </c>
      <c r="J63" s="99">
        <f>$J$61-$J$62</f>
        <v>0</v>
      </c>
      <c r="L63" s="6"/>
      <c r="M63" s="6"/>
      <c r="N63" s="6"/>
      <c r="O63" s="7"/>
      <c r="P63" s="8"/>
    </row>
    <row r="64" spans="2:16" ht="14.45" customHeight="1">
      <c r="B64" s="199"/>
      <c r="C64" s="200"/>
      <c r="D64" s="200"/>
      <c r="E64" s="201"/>
      <c r="G64" s="168"/>
      <c r="H64" s="74" t="s">
        <v>69</v>
      </c>
      <c r="I64" s="104" t="str">
        <f>IFERROR($I$63/$I$61,"")</f>
        <v/>
      </c>
      <c r="J64" s="76" t="str">
        <f>IFERROR($J$63/$J$61,"")</f>
        <v/>
      </c>
      <c r="L64" s="30" t="s">
        <v>70</v>
      </c>
      <c r="M64" s="36"/>
      <c r="N64" s="38"/>
      <c r="O64" s="36"/>
      <c r="P64" s="39"/>
    </row>
    <row r="65" spans="2:16" ht="14.45" customHeight="1" thickBot="1">
      <c r="B65" s="164"/>
      <c r="C65" s="165"/>
      <c r="D65" s="165"/>
      <c r="E65" s="166"/>
      <c r="G65" s="169"/>
      <c r="H65" s="75" t="s">
        <v>71</v>
      </c>
      <c r="I65" s="100"/>
      <c r="J65" s="101"/>
      <c r="L65" s="129" t="s">
        <v>72</v>
      </c>
      <c r="M65" s="130"/>
      <c r="N65" s="41">
        <v>30</v>
      </c>
      <c r="O65" s="41">
        <v>60</v>
      </c>
      <c r="P65" s="42">
        <v>90</v>
      </c>
    </row>
    <row r="66" spans="2:16" ht="14.45" customHeight="1" thickBot="1">
      <c r="G66" s="180"/>
      <c r="H66" s="181"/>
      <c r="I66" s="31" t="s">
        <v>73</v>
      </c>
      <c r="J66" s="32" t="s">
        <v>41</v>
      </c>
      <c r="L66" s="131">
        <v>0.3</v>
      </c>
      <c r="M66" s="132"/>
      <c r="N66" s="44" t="e">
        <f ca="1">$L66*$P$57</f>
        <v>#N/A</v>
      </c>
      <c r="O66" s="44" t="e">
        <f ca="1">$L66*$P$58</f>
        <v>#N/A</v>
      </c>
      <c r="P66" s="135" t="e">
        <f ca="1">$L66*$P$59</f>
        <v>#N/A</v>
      </c>
    </row>
    <row r="67" spans="2:16" ht="14.45" customHeight="1" thickBot="1">
      <c r="B67" s="27" t="s">
        <v>74</v>
      </c>
      <c r="C67" s="28" t="s">
        <v>75</v>
      </c>
      <c r="D67" s="28" t="s">
        <v>76</v>
      </c>
      <c r="E67" s="29" t="s">
        <v>77</v>
      </c>
      <c r="G67" s="167" t="s">
        <v>78</v>
      </c>
      <c r="H67" s="73" t="s">
        <v>79</v>
      </c>
      <c r="I67" s="91"/>
      <c r="J67" s="92"/>
      <c r="L67" s="55">
        <v>100000</v>
      </c>
      <c r="M67" s="133"/>
      <c r="N67" s="46" t="e">
        <f t="shared" ref="N67:P69" ca="1" si="0">ROUND(($L67/N$66),1)&amp;" Trading Days, "&amp;ROUND(($L67/N$66)/20,1)&amp;" Months"</f>
        <v>#N/A</v>
      </c>
      <c r="O67" s="46" t="e">
        <f t="shared" ca="1" si="0"/>
        <v>#N/A</v>
      </c>
      <c r="P67" s="47" t="e">
        <f t="shared" ca="1" si="0"/>
        <v>#N/A</v>
      </c>
    </row>
    <row r="68" spans="2:16" ht="14.45" customHeight="1" thickBot="1">
      <c r="B68" s="110"/>
      <c r="C68" s="111"/>
      <c r="D68" s="151"/>
      <c r="E68" s="114"/>
      <c r="G68" s="168"/>
      <c r="H68" s="74" t="s">
        <v>80</v>
      </c>
      <c r="I68" s="93"/>
      <c r="J68" s="94"/>
      <c r="L68" s="55">
        <v>50000</v>
      </c>
      <c r="M68" s="133"/>
      <c r="N68" s="46" t="e">
        <f t="shared" ca="1" si="0"/>
        <v>#N/A</v>
      </c>
      <c r="O68" s="46" t="e">
        <f t="shared" ca="1" si="0"/>
        <v>#N/A</v>
      </c>
      <c r="P68" s="47" t="e">
        <f t="shared" ca="1" si="0"/>
        <v>#N/A</v>
      </c>
    </row>
    <row r="69" spans="2:16" ht="14.45" customHeight="1" thickBot="1">
      <c r="B69" s="112"/>
      <c r="C69" s="113"/>
      <c r="D69" s="151"/>
      <c r="E69" s="114"/>
      <c r="G69" s="169"/>
      <c r="H69" s="77" t="s">
        <v>81</v>
      </c>
      <c r="I69" s="102"/>
      <c r="J69" s="103"/>
      <c r="L69" s="56">
        <v>25000</v>
      </c>
      <c r="M69" s="134"/>
      <c r="N69" s="49" t="e">
        <f t="shared" ca="1" si="0"/>
        <v>#N/A</v>
      </c>
      <c r="O69" s="49" t="e">
        <f t="shared" ca="1" si="0"/>
        <v>#N/A</v>
      </c>
      <c r="P69" s="50" t="e">
        <f t="shared" ca="1" si="0"/>
        <v>#N/A</v>
      </c>
    </row>
    <row r="70" spans="2:16" ht="14.45" customHeight="1" thickBot="1">
      <c r="B70" s="112"/>
      <c r="C70" s="113"/>
      <c r="D70" s="152"/>
      <c r="E70" s="114"/>
      <c r="L70" s="4"/>
      <c r="M70" s="4"/>
      <c r="N70" s="5"/>
      <c r="O70" s="5"/>
      <c r="P70" s="5"/>
    </row>
    <row r="71" spans="2:16" ht="14.45" customHeight="1">
      <c r="B71" s="112"/>
      <c r="C71" s="113"/>
      <c r="D71" s="152"/>
      <c r="E71" s="114"/>
      <c r="G71" s="172" t="s">
        <v>82</v>
      </c>
      <c r="H71" s="173"/>
      <c r="I71" s="173"/>
      <c r="J71" s="13" t="s">
        <v>43</v>
      </c>
      <c r="L71" s="30" t="s">
        <v>70</v>
      </c>
      <c r="M71" s="36"/>
      <c r="N71" s="51"/>
      <c r="O71" s="52"/>
      <c r="P71" s="53"/>
    </row>
    <row r="72" spans="2:16" ht="14.45" customHeight="1">
      <c r="B72" s="112"/>
      <c r="C72" s="113"/>
      <c r="D72" s="152"/>
      <c r="E72" s="114"/>
      <c r="G72" s="187" t="s">
        <v>83</v>
      </c>
      <c r="H72" s="188"/>
      <c r="I72" s="188"/>
      <c r="J72" s="140"/>
      <c r="L72" s="34" t="s">
        <v>72</v>
      </c>
      <c r="M72" s="40"/>
      <c r="N72" s="41">
        <v>30</v>
      </c>
      <c r="O72" s="41">
        <v>60</v>
      </c>
      <c r="P72" s="42">
        <v>90</v>
      </c>
    </row>
    <row r="73" spans="2:16" ht="14.45" customHeight="1">
      <c r="B73" s="112"/>
      <c r="C73" s="113"/>
      <c r="D73" s="152"/>
      <c r="E73" s="114"/>
      <c r="G73" s="187" t="s">
        <v>84</v>
      </c>
      <c r="H73" s="188"/>
      <c r="I73" s="188"/>
      <c r="J73" s="140"/>
      <c r="L73" s="54">
        <v>0.2</v>
      </c>
      <c r="M73" s="43"/>
      <c r="N73" s="44" t="e">
        <f ca="1">$L73*$P$57</f>
        <v>#N/A</v>
      </c>
      <c r="O73" s="44" t="e">
        <f ca="1">$L73*$P$58</f>
        <v>#N/A</v>
      </c>
      <c r="P73" s="135" t="e">
        <f ca="1">$L73*$P$59</f>
        <v>#N/A</v>
      </c>
    </row>
    <row r="74" spans="2:16" ht="14.45" customHeight="1">
      <c r="B74" s="112"/>
      <c r="C74" s="113"/>
      <c r="D74" s="152"/>
      <c r="E74" s="114"/>
      <c r="G74" s="187" t="s">
        <v>85</v>
      </c>
      <c r="H74" s="188"/>
      <c r="I74" s="188"/>
      <c r="J74" s="140"/>
      <c r="L74" s="55">
        <v>100000</v>
      </c>
      <c r="M74" s="45"/>
      <c r="N74" s="46" t="e">
        <f t="shared" ref="N74:P76" ca="1" si="1">ROUND(($L74/N$73),1)&amp;" Trading Days, "&amp;ROUND(($L74/N$73)/20,1)&amp;" Months"</f>
        <v>#N/A</v>
      </c>
      <c r="O74" s="46" t="e">
        <f t="shared" ca="1" si="1"/>
        <v>#N/A</v>
      </c>
      <c r="P74" s="47" t="e">
        <f t="shared" ca="1" si="1"/>
        <v>#N/A</v>
      </c>
    </row>
    <row r="75" spans="2:16" ht="14.45" customHeight="1">
      <c r="B75" s="112"/>
      <c r="C75" s="113"/>
      <c r="D75" s="152"/>
      <c r="E75" s="114"/>
      <c r="G75" s="187" t="s">
        <v>86</v>
      </c>
      <c r="H75" s="188"/>
      <c r="I75" s="188"/>
      <c r="J75" s="118"/>
      <c r="L75" s="55">
        <v>50000</v>
      </c>
      <c r="M75" s="45"/>
      <c r="N75" s="46" t="e">
        <f t="shared" ca="1" si="1"/>
        <v>#N/A</v>
      </c>
      <c r="O75" s="46" t="e">
        <f t="shared" ca="1" si="1"/>
        <v>#N/A</v>
      </c>
      <c r="P75" s="47" t="e">
        <f t="shared" ca="1" si="1"/>
        <v>#N/A</v>
      </c>
    </row>
    <row r="76" spans="2:16" ht="14.45" customHeight="1" thickBot="1">
      <c r="B76" s="112"/>
      <c r="C76" s="113"/>
      <c r="D76" s="152"/>
      <c r="E76" s="114"/>
      <c r="G76" s="202" t="s">
        <v>87</v>
      </c>
      <c r="H76" s="203"/>
      <c r="I76" s="203"/>
      <c r="J76" s="119">
        <f>$J$73*0.0499</f>
        <v>0</v>
      </c>
      <c r="L76" s="56">
        <v>25000</v>
      </c>
      <c r="M76" s="48"/>
      <c r="N76" s="49" t="e">
        <f t="shared" ca="1" si="1"/>
        <v>#N/A</v>
      </c>
      <c r="O76" s="49" t="e">
        <f t="shared" ca="1" si="1"/>
        <v>#N/A</v>
      </c>
      <c r="P76" s="50" t="e">
        <f t="shared" ca="1" si="1"/>
        <v>#N/A</v>
      </c>
    </row>
    <row r="77" spans="2:16" ht="14.45" customHeight="1" thickBot="1">
      <c r="B77" s="115"/>
      <c r="C77" s="116"/>
      <c r="D77" s="153"/>
      <c r="E77" s="117"/>
      <c r="G77" s="202" t="s">
        <v>88</v>
      </c>
      <c r="H77" s="203"/>
      <c r="I77" s="203"/>
      <c r="J77" s="120" t="e">
        <f>$J$76*$J$78</f>
        <v>#N/A</v>
      </c>
      <c r="L77" s="9"/>
      <c r="M77" s="9"/>
      <c r="N77" s="10"/>
      <c r="O77" s="10"/>
      <c r="P77" s="10"/>
    </row>
    <row r="78" spans="2:16" ht="14.45" customHeight="1" thickBot="1">
      <c r="G78" s="187" t="s">
        <v>89</v>
      </c>
      <c r="H78" s="188"/>
      <c r="I78" s="188"/>
      <c r="J78" s="121" t="e">
        <f>INDEX(Data!H:H,MATCH(BIGNUM,Data!H:H))</f>
        <v>#N/A</v>
      </c>
      <c r="L78" s="30" t="s">
        <v>70</v>
      </c>
      <c r="M78" s="57"/>
      <c r="N78" s="58"/>
      <c r="O78" s="58"/>
      <c r="P78" s="59"/>
    </row>
    <row r="79" spans="2:16" ht="14.45" customHeight="1" thickBot="1">
      <c r="B79" s="122" t="s">
        <v>90</v>
      </c>
      <c r="C79" s="206"/>
      <c r="D79" s="206"/>
      <c r="E79" s="207"/>
      <c r="G79" s="204" t="s">
        <v>91</v>
      </c>
      <c r="H79" s="205"/>
      <c r="I79" s="205"/>
      <c r="J79" s="138" t="e">
        <f>$J$78*$J$74</f>
        <v>#N/A</v>
      </c>
      <c r="L79" s="35" t="s">
        <v>72</v>
      </c>
      <c r="M79" s="60"/>
      <c r="N79" s="61">
        <v>30</v>
      </c>
      <c r="O79" s="61">
        <v>60</v>
      </c>
      <c r="P79" s="62">
        <v>90</v>
      </c>
    </row>
    <row r="80" spans="2:16" ht="14.45" customHeight="1" thickBot="1">
      <c r="B80" s="123" t="s">
        <v>92</v>
      </c>
      <c r="C80" s="182"/>
      <c r="D80" s="182"/>
      <c r="E80" s="183"/>
      <c r="L80" s="63">
        <v>0.1</v>
      </c>
      <c r="M80" s="64"/>
      <c r="N80" s="44" t="e">
        <f ca="1">$L80*$P$57</f>
        <v>#N/A</v>
      </c>
      <c r="O80" s="44" t="e">
        <f ca="1">$L80*$P$58</f>
        <v>#N/A</v>
      </c>
      <c r="P80" s="135" t="e">
        <f ca="1">$L80*$P$59</f>
        <v>#N/A</v>
      </c>
    </row>
    <row r="81" spans="2:18" ht="14.45" customHeight="1" thickBot="1">
      <c r="B81" s="123" t="s">
        <v>93</v>
      </c>
      <c r="C81" s="182"/>
      <c r="D81" s="182"/>
      <c r="E81" s="183"/>
      <c r="L81" s="65">
        <v>100000</v>
      </c>
      <c r="M81" s="66"/>
      <c r="N81" s="46" t="e">
        <f t="shared" ref="N81:P83" ca="1" si="2">ROUND(($L81/N$80),1)&amp;" Trading Days, "&amp;ROUND(($L81/N$80)/20,1)&amp;" Months"</f>
        <v>#N/A</v>
      </c>
      <c r="O81" s="46" t="e">
        <f t="shared" ca="1" si="2"/>
        <v>#N/A</v>
      </c>
      <c r="P81" s="47" t="e">
        <f t="shared" ca="1" si="2"/>
        <v>#N/A</v>
      </c>
    </row>
    <row r="82" spans="2:18" ht="12" customHeight="1">
      <c r="L82" s="65">
        <v>50000</v>
      </c>
      <c r="M82" s="66"/>
      <c r="N82" s="46" t="e">
        <f t="shared" ca="1" si="2"/>
        <v>#N/A</v>
      </c>
      <c r="O82" s="46" t="e">
        <f t="shared" ca="1" si="2"/>
        <v>#N/A</v>
      </c>
      <c r="P82" s="47" t="e">
        <f t="shared" ca="1" si="2"/>
        <v>#N/A</v>
      </c>
    </row>
    <row r="83" spans="2:18" ht="14.45" customHeight="1" thickBot="1">
      <c r="L83" s="67">
        <v>25000</v>
      </c>
      <c r="M83" s="68"/>
      <c r="N83" s="49" t="e">
        <f t="shared" ca="1" si="2"/>
        <v>#N/A</v>
      </c>
      <c r="O83" s="49" t="e">
        <f t="shared" ca="1" si="2"/>
        <v>#N/A</v>
      </c>
      <c r="P83" s="50" t="e">
        <f t="shared" ca="1" si="2"/>
        <v>#N/A</v>
      </c>
    </row>
    <row r="84" spans="2:18" ht="12" customHeight="1">
      <c r="H84" s="154" t="s">
        <v>94</v>
      </c>
      <c r="I84" s="154"/>
    </row>
    <row r="85" spans="2:18" ht="12" customHeight="1">
      <c r="H85" s="154"/>
      <c r="I85" s="154"/>
      <c r="R85" s="143"/>
    </row>
    <row r="86" spans="2:18" ht="12" customHeight="1">
      <c r="H86" s="154"/>
      <c r="I86" s="154"/>
      <c r="R86" s="143"/>
    </row>
    <row r="87" spans="2:18" ht="12" customHeight="1">
      <c r="H87" s="154"/>
      <c r="I87" s="154"/>
      <c r="L87" s="144"/>
      <c r="R87" s="143"/>
    </row>
    <row r="88" spans="2:18" ht="12" customHeight="1">
      <c r="H88" s="154"/>
      <c r="I88" s="154"/>
      <c r="L88" s="150"/>
      <c r="M88" s="150"/>
      <c r="N88" s="150"/>
      <c r="O88" s="150"/>
      <c r="P88" s="150"/>
      <c r="R88" s="143"/>
    </row>
    <row r="89" spans="2:18" ht="12" customHeight="1">
      <c r="H89" s="154"/>
      <c r="I89" s="154"/>
      <c r="L89" s="150"/>
      <c r="M89" s="150"/>
      <c r="N89" s="150"/>
      <c r="O89" s="150"/>
      <c r="P89" s="150"/>
      <c r="R89" s="143"/>
    </row>
    <row r="90" spans="2:18" ht="12" customHeight="1">
      <c r="H90" s="141"/>
      <c r="I90" s="141"/>
      <c r="L90" s="150"/>
      <c r="M90" s="150"/>
      <c r="N90" s="150"/>
      <c r="O90" s="150"/>
      <c r="P90" s="150"/>
      <c r="R90" s="143"/>
    </row>
    <row r="91" spans="2:18" ht="12" customHeight="1">
      <c r="H91" s="141"/>
      <c r="I91" s="141"/>
      <c r="L91" s="150"/>
      <c r="M91" s="150"/>
      <c r="N91" s="150"/>
      <c r="O91" s="150"/>
      <c r="P91" s="150"/>
    </row>
    <row r="92" spans="2:18" ht="12" customHeight="1">
      <c r="H92" s="141"/>
      <c r="I92" s="141"/>
      <c r="L92" s="150"/>
      <c r="M92" s="150"/>
      <c r="N92" s="150"/>
      <c r="O92" s="150"/>
      <c r="P92" s="150"/>
    </row>
    <row r="93" spans="2:18" ht="12" customHeight="1">
      <c r="L93" s="150"/>
      <c r="M93" s="150"/>
      <c r="N93" s="150"/>
      <c r="O93" s="150"/>
      <c r="P93" s="150"/>
    </row>
    <row r="94" spans="2:18" ht="12" customHeight="1">
      <c r="L94" s="150"/>
      <c r="M94" s="150"/>
      <c r="N94" s="150"/>
      <c r="O94" s="150"/>
      <c r="P94" s="150"/>
    </row>
    <row r="95" spans="2:18" ht="12" customHeight="1">
      <c r="L95" s="150"/>
      <c r="M95" s="150"/>
      <c r="N95" s="150"/>
      <c r="O95" s="150"/>
      <c r="P95" s="150"/>
    </row>
    <row r="96" spans="2:18" ht="16.5" customHeight="1">
      <c r="L96" s="150"/>
      <c r="M96" s="150"/>
      <c r="N96" s="150"/>
      <c r="O96" s="150"/>
      <c r="P96" s="150"/>
    </row>
    <row r="97" spans="12:16" ht="16.5" customHeight="1">
      <c r="L97" s="150"/>
      <c r="M97" s="150"/>
      <c r="N97" s="150"/>
      <c r="O97" s="150"/>
      <c r="P97" s="150"/>
    </row>
    <row r="98" spans="12:16" ht="16.5" customHeight="1">
      <c r="L98" s="150"/>
      <c r="M98" s="150"/>
      <c r="N98" s="150"/>
      <c r="O98" s="150"/>
      <c r="P98" s="150"/>
    </row>
    <row r="99" spans="12:16" ht="16.5" customHeight="1">
      <c r="L99" s="150"/>
      <c r="M99" s="150"/>
      <c r="N99" s="150"/>
      <c r="O99" s="150"/>
      <c r="P99" s="150"/>
    </row>
    <row r="100" spans="12:16" ht="16.5" customHeight="1">
      <c r="L100" s="145"/>
      <c r="M100" s="145"/>
      <c r="N100" s="145"/>
      <c r="O100" s="145"/>
      <c r="P100" s="145"/>
    </row>
    <row r="101" spans="12:16">
      <c r="L101" s="145"/>
      <c r="M101" s="145"/>
      <c r="N101" s="145"/>
      <c r="O101" s="145"/>
      <c r="P101" s="145"/>
    </row>
  </sheetData>
  <mergeCells count="47">
    <mergeCell ref="G74:I74"/>
    <mergeCell ref="G75:I75"/>
    <mergeCell ref="G71:I71"/>
    <mergeCell ref="C81:E81"/>
    <mergeCell ref="G77:I77"/>
    <mergeCell ref="G78:I78"/>
    <mergeCell ref="G79:I79"/>
    <mergeCell ref="G76:I76"/>
    <mergeCell ref="C79:E79"/>
    <mergeCell ref="C80:E80"/>
    <mergeCell ref="L58:O58"/>
    <mergeCell ref="L59:O59"/>
    <mergeCell ref="L60:O60"/>
    <mergeCell ref="L61:O61"/>
    <mergeCell ref="B59:E65"/>
    <mergeCell ref="B48:E48"/>
    <mergeCell ref="L62:N62"/>
    <mergeCell ref="G72:I72"/>
    <mergeCell ref="G73:I73"/>
    <mergeCell ref="L50:O50"/>
    <mergeCell ref="L51:O51"/>
    <mergeCell ref="L52:O52"/>
    <mergeCell ref="L53:O53"/>
    <mergeCell ref="L54:O54"/>
    <mergeCell ref="G48:J48"/>
    <mergeCell ref="C51:E51"/>
    <mergeCell ref="C52:E52"/>
    <mergeCell ref="C53:E53"/>
    <mergeCell ref="C54:E54"/>
    <mergeCell ref="C55:E55"/>
    <mergeCell ref="L57:O57"/>
    <mergeCell ref="H84:I89"/>
    <mergeCell ref="L47:P47"/>
    <mergeCell ref="G55:G59"/>
    <mergeCell ref="B8:J9"/>
    <mergeCell ref="G61:G65"/>
    <mergeCell ref="G67:G69"/>
    <mergeCell ref="C50:E50"/>
    <mergeCell ref="B49:E49"/>
    <mergeCell ref="B58:E58"/>
    <mergeCell ref="B47:E47"/>
    <mergeCell ref="G47:J47"/>
    <mergeCell ref="G49:H49"/>
    <mergeCell ref="G54:H54"/>
    <mergeCell ref="G60:H60"/>
    <mergeCell ref="G66:H66"/>
    <mergeCell ref="C56:E56"/>
  </mergeCells>
  <conditionalFormatting sqref="P50">
    <cfRule type="colorScale" priority="20">
      <colorScale>
        <cfvo type="num" val="0"/>
        <cfvo type="num" val="10000"/>
        <color rgb="FFFF9999"/>
        <color theme="9" tint="0.59999389629810485"/>
      </colorScale>
    </cfRule>
  </conditionalFormatting>
  <conditionalFormatting sqref="J3">
    <cfRule type="containsText" dxfId="11" priority="18" operator="containsText" text="Exchange">
      <formula>NOT(ISERROR(SEARCH("Exchange",J3)))</formula>
    </cfRule>
  </conditionalFormatting>
  <conditionalFormatting sqref="J4">
    <cfRule type="containsText" dxfId="10" priority="17" operator="containsText" text="Stock Symbol">
      <formula>NOT(ISERROR(SEARCH("Stock Symbol",J4)))</formula>
    </cfRule>
  </conditionalFormatting>
  <conditionalFormatting sqref="C3:C5 J75 I65:J65 I67:J69">
    <cfRule type="containsBlanks" dxfId="9" priority="12">
      <formula>LEN(TRIM(C3))=0</formula>
    </cfRule>
  </conditionalFormatting>
  <conditionalFormatting sqref="B51:C51 B59:E65 B56:C56 B54:B55 B53:C53 C52">
    <cfRule type="containsBlanks" dxfId="8" priority="11">
      <formula>LEN(TRIM(B51))=0</formula>
    </cfRule>
  </conditionalFormatting>
  <conditionalFormatting sqref="I55:J57 I61:J62">
    <cfRule type="containsBlanks" dxfId="7" priority="10">
      <formula>LEN(TRIM(I55))=0</formula>
    </cfRule>
  </conditionalFormatting>
  <conditionalFormatting sqref="B2">
    <cfRule type="containsText" dxfId="6" priority="8" operator="containsText" text="Company Name">
      <formula>NOT(ISERROR(SEARCH("Company Name",B2)))</formula>
    </cfRule>
  </conditionalFormatting>
  <conditionalFormatting sqref="B70:E77">
    <cfRule type="containsBlanks" dxfId="5" priority="7">
      <formula>LEN(TRIM(B70))=0</formula>
    </cfRule>
  </conditionalFormatting>
  <conditionalFormatting sqref="J7">
    <cfRule type="containsBlanks" dxfId="4" priority="6">
      <formula>LEN(TRIM(J7))=0</formula>
    </cfRule>
  </conditionalFormatting>
  <conditionalFormatting sqref="C54">
    <cfRule type="containsBlanks" dxfId="3" priority="5">
      <formula>LEN(TRIM(C54))=0</formula>
    </cfRule>
  </conditionalFormatting>
  <conditionalFormatting sqref="C55">
    <cfRule type="containsBlanks" dxfId="2" priority="4">
      <formula>LEN(TRIM(C55))=0</formula>
    </cfRule>
  </conditionalFormatting>
  <conditionalFormatting sqref="B68:E69">
    <cfRule type="containsBlanks" dxfId="1" priority="2">
      <formula>LEN(TRIM(B68))=0</formula>
    </cfRule>
  </conditionalFormatting>
  <conditionalFormatting sqref="B52">
    <cfRule type="containsBlanks" dxfId="0" priority="1">
      <formula>LEN(TRIM(B52))=0</formula>
    </cfRule>
  </conditionalFormatting>
  <pageMargins left="0.25" right="0.25" top="0.75" bottom="0.75" header="0.3" footer="0.3"/>
  <pageSetup paperSize="9" orientation="portrait" r:id="rId1"/>
  <drawing r:id="rId2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5:K136"/>
  <sheetViews>
    <sheetView topLeftCell="A106" zoomScale="85" zoomScaleNormal="85" zoomScalePageLayoutView="85" workbookViewId="0">
      <selection activeCell="J94" sqref="J93:K94"/>
    </sheetView>
  </sheetViews>
  <sheetFormatPr defaultColWidth="8.85546875" defaultRowHeight="15"/>
  <cols>
    <col min="1" max="1" width="11" bestFit="1" customWidth="1"/>
    <col min="2" max="5" width="6.85546875" bestFit="1" customWidth="1"/>
    <col min="6" max="6" width="7.85546875" bestFit="1" customWidth="1"/>
    <col min="9" max="9" width="15.5703125" customWidth="1"/>
    <col min="10" max="10" width="16.42578125" customWidth="1"/>
    <col min="11" max="11" width="9.85546875" bestFit="1" customWidth="1"/>
  </cols>
  <sheetData>
    <row r="5" spans="1:9">
      <c r="A5" s="11"/>
    </row>
    <row r="6" spans="1:9" ht="21">
      <c r="A6" s="2" t="s">
        <v>95</v>
      </c>
      <c r="B6" s="2"/>
      <c r="C6" s="2"/>
      <c r="D6" s="2"/>
      <c r="E6" s="2"/>
      <c r="F6" s="2"/>
      <c r="G6" s="2"/>
      <c r="H6" s="2"/>
      <c r="I6" s="2"/>
    </row>
    <row r="7" spans="1:9">
      <c r="A7" t="s">
        <v>96</v>
      </c>
      <c r="B7" t="s">
        <v>97</v>
      </c>
      <c r="C7" t="s">
        <v>98</v>
      </c>
      <c r="D7" t="s">
        <v>99</v>
      </c>
      <c r="E7" t="s">
        <v>100</v>
      </c>
      <c r="F7" t="s">
        <v>101</v>
      </c>
      <c r="G7" s="16" t="s">
        <v>102</v>
      </c>
      <c r="H7" s="17" t="s">
        <v>103</v>
      </c>
      <c r="I7" s="17" t="s">
        <v>104</v>
      </c>
    </row>
    <row r="8" spans="1:9">
      <c r="A8" s="15"/>
      <c r="G8" s="18" t="e">
        <f>(AVERAGE(B8:E8)*F8)/F8</f>
        <v>#DIV/0!</v>
      </c>
      <c r="H8" s="18" t="e">
        <f>AVERAGE(B8:E8)</f>
        <v>#DIV/0!</v>
      </c>
      <c r="I8" s="19" t="e">
        <f>F8*AVERAGE(B8:E8)</f>
        <v>#DIV/0!</v>
      </c>
    </row>
    <row r="9" spans="1:9">
      <c r="A9" s="15"/>
      <c r="G9" s="18" t="e">
        <f t="shared" ref="G9:G72" si="0">(AVERAGE(B9:E9)*F9)/F9</f>
        <v>#DIV/0!</v>
      </c>
      <c r="H9" s="18" t="e">
        <f t="shared" ref="H9:H72" si="1">AVERAGE(B9:E9)</f>
        <v>#DIV/0!</v>
      </c>
      <c r="I9" s="19" t="e">
        <f t="shared" ref="I9:I72" si="2">F9*AVERAGE(B9:E9)</f>
        <v>#DIV/0!</v>
      </c>
    </row>
    <row r="10" spans="1:9">
      <c r="A10" s="15"/>
      <c r="G10" s="18" t="e">
        <f t="shared" si="0"/>
        <v>#DIV/0!</v>
      </c>
      <c r="H10" s="18" t="e">
        <f t="shared" si="1"/>
        <v>#DIV/0!</v>
      </c>
      <c r="I10" s="19" t="e">
        <f t="shared" si="2"/>
        <v>#DIV/0!</v>
      </c>
    </row>
    <row r="11" spans="1:9">
      <c r="A11" s="15"/>
      <c r="G11" s="18" t="e">
        <f t="shared" si="0"/>
        <v>#DIV/0!</v>
      </c>
      <c r="H11" s="18" t="e">
        <f t="shared" si="1"/>
        <v>#DIV/0!</v>
      </c>
      <c r="I11" s="19" t="e">
        <f t="shared" si="2"/>
        <v>#DIV/0!</v>
      </c>
    </row>
    <row r="12" spans="1:9">
      <c r="A12" s="15"/>
      <c r="G12" s="18" t="e">
        <f t="shared" si="0"/>
        <v>#DIV/0!</v>
      </c>
      <c r="H12" s="18" t="e">
        <f t="shared" si="1"/>
        <v>#DIV/0!</v>
      </c>
      <c r="I12" s="19" t="e">
        <f t="shared" si="2"/>
        <v>#DIV/0!</v>
      </c>
    </row>
    <row r="13" spans="1:9">
      <c r="A13" s="15"/>
      <c r="G13" s="18" t="e">
        <f t="shared" si="0"/>
        <v>#DIV/0!</v>
      </c>
      <c r="H13" s="18" t="e">
        <f t="shared" si="1"/>
        <v>#DIV/0!</v>
      </c>
      <c r="I13" s="19" t="e">
        <f t="shared" si="2"/>
        <v>#DIV/0!</v>
      </c>
    </row>
    <row r="14" spans="1:9">
      <c r="A14" s="15"/>
      <c r="G14" s="18" t="e">
        <f t="shared" si="0"/>
        <v>#DIV/0!</v>
      </c>
      <c r="H14" s="18" t="e">
        <f t="shared" si="1"/>
        <v>#DIV/0!</v>
      </c>
      <c r="I14" s="19" t="e">
        <f t="shared" si="2"/>
        <v>#DIV/0!</v>
      </c>
    </row>
    <row r="15" spans="1:9">
      <c r="A15" s="15"/>
      <c r="G15" s="18" t="e">
        <f t="shared" si="0"/>
        <v>#DIV/0!</v>
      </c>
      <c r="H15" s="18" t="e">
        <f t="shared" si="1"/>
        <v>#DIV/0!</v>
      </c>
      <c r="I15" s="19" t="e">
        <f t="shared" si="2"/>
        <v>#DIV/0!</v>
      </c>
    </row>
    <row r="16" spans="1:9">
      <c r="A16" s="15"/>
      <c r="G16" s="18" t="e">
        <f t="shared" si="0"/>
        <v>#DIV/0!</v>
      </c>
      <c r="H16" s="18" t="e">
        <f t="shared" si="1"/>
        <v>#DIV/0!</v>
      </c>
      <c r="I16" s="19" t="e">
        <f t="shared" si="2"/>
        <v>#DIV/0!</v>
      </c>
    </row>
    <row r="17" spans="1:9">
      <c r="A17" s="15"/>
      <c r="G17" s="18" t="e">
        <f t="shared" si="0"/>
        <v>#DIV/0!</v>
      </c>
      <c r="H17" s="18" t="e">
        <f t="shared" si="1"/>
        <v>#DIV/0!</v>
      </c>
      <c r="I17" s="19" t="e">
        <f t="shared" si="2"/>
        <v>#DIV/0!</v>
      </c>
    </row>
    <row r="18" spans="1:9">
      <c r="A18" s="15"/>
      <c r="G18" s="18" t="e">
        <f t="shared" si="0"/>
        <v>#DIV/0!</v>
      </c>
      <c r="H18" s="18" t="e">
        <f t="shared" si="1"/>
        <v>#DIV/0!</v>
      </c>
      <c r="I18" s="19" t="e">
        <f t="shared" si="2"/>
        <v>#DIV/0!</v>
      </c>
    </row>
    <row r="19" spans="1:9">
      <c r="A19" s="15"/>
      <c r="G19" s="18" t="e">
        <f t="shared" si="0"/>
        <v>#DIV/0!</v>
      </c>
      <c r="H19" s="18" t="e">
        <f t="shared" si="1"/>
        <v>#DIV/0!</v>
      </c>
      <c r="I19" s="19" t="e">
        <f t="shared" si="2"/>
        <v>#DIV/0!</v>
      </c>
    </row>
    <row r="20" spans="1:9">
      <c r="A20" s="15"/>
      <c r="G20" s="18" t="e">
        <f t="shared" si="0"/>
        <v>#DIV/0!</v>
      </c>
      <c r="H20" s="18" t="e">
        <f t="shared" si="1"/>
        <v>#DIV/0!</v>
      </c>
      <c r="I20" s="19" t="e">
        <f t="shared" si="2"/>
        <v>#DIV/0!</v>
      </c>
    </row>
    <row r="21" spans="1:9">
      <c r="A21" s="15"/>
      <c r="G21" s="18" t="e">
        <f t="shared" si="0"/>
        <v>#DIV/0!</v>
      </c>
      <c r="H21" s="18" t="e">
        <f t="shared" si="1"/>
        <v>#DIV/0!</v>
      </c>
      <c r="I21" s="19" t="e">
        <f t="shared" si="2"/>
        <v>#DIV/0!</v>
      </c>
    </row>
    <row r="22" spans="1:9">
      <c r="A22" s="15"/>
      <c r="G22" s="18" t="e">
        <f t="shared" si="0"/>
        <v>#DIV/0!</v>
      </c>
      <c r="H22" s="18" t="e">
        <f t="shared" si="1"/>
        <v>#DIV/0!</v>
      </c>
      <c r="I22" s="19" t="e">
        <f t="shared" si="2"/>
        <v>#DIV/0!</v>
      </c>
    </row>
    <row r="23" spans="1:9">
      <c r="A23" s="15"/>
      <c r="G23" s="18" t="e">
        <f t="shared" si="0"/>
        <v>#DIV/0!</v>
      </c>
      <c r="H23" s="18" t="e">
        <f t="shared" si="1"/>
        <v>#DIV/0!</v>
      </c>
      <c r="I23" s="19" t="e">
        <f t="shared" si="2"/>
        <v>#DIV/0!</v>
      </c>
    </row>
    <row r="24" spans="1:9">
      <c r="A24" s="15"/>
      <c r="G24" s="18" t="e">
        <f t="shared" si="0"/>
        <v>#DIV/0!</v>
      </c>
      <c r="H24" s="18" t="e">
        <f t="shared" si="1"/>
        <v>#DIV/0!</v>
      </c>
      <c r="I24" s="19" t="e">
        <f t="shared" si="2"/>
        <v>#DIV/0!</v>
      </c>
    </row>
    <row r="25" spans="1:9">
      <c r="A25" s="15"/>
      <c r="G25" s="18" t="e">
        <f t="shared" si="0"/>
        <v>#DIV/0!</v>
      </c>
      <c r="H25" s="18" t="e">
        <f t="shared" si="1"/>
        <v>#DIV/0!</v>
      </c>
      <c r="I25" s="19" t="e">
        <f t="shared" si="2"/>
        <v>#DIV/0!</v>
      </c>
    </row>
    <row r="26" spans="1:9">
      <c r="A26" s="15"/>
      <c r="G26" s="18" t="e">
        <f t="shared" si="0"/>
        <v>#DIV/0!</v>
      </c>
      <c r="H26" s="18" t="e">
        <f t="shared" si="1"/>
        <v>#DIV/0!</v>
      </c>
      <c r="I26" s="19" t="e">
        <f t="shared" si="2"/>
        <v>#DIV/0!</v>
      </c>
    </row>
    <row r="27" spans="1:9">
      <c r="A27" s="15"/>
      <c r="G27" s="18" t="e">
        <f t="shared" si="0"/>
        <v>#DIV/0!</v>
      </c>
      <c r="H27" s="18" t="e">
        <f t="shared" si="1"/>
        <v>#DIV/0!</v>
      </c>
      <c r="I27" s="19" t="e">
        <f t="shared" si="2"/>
        <v>#DIV/0!</v>
      </c>
    </row>
    <row r="28" spans="1:9">
      <c r="A28" s="15"/>
      <c r="G28" s="18" t="e">
        <f t="shared" si="0"/>
        <v>#DIV/0!</v>
      </c>
      <c r="H28" s="18" t="e">
        <f t="shared" si="1"/>
        <v>#DIV/0!</v>
      </c>
      <c r="I28" s="19" t="e">
        <f t="shared" si="2"/>
        <v>#DIV/0!</v>
      </c>
    </row>
    <row r="29" spans="1:9">
      <c r="A29" s="15"/>
      <c r="G29" s="18" t="e">
        <f t="shared" si="0"/>
        <v>#DIV/0!</v>
      </c>
      <c r="H29" s="18" t="e">
        <f t="shared" si="1"/>
        <v>#DIV/0!</v>
      </c>
      <c r="I29" s="19" t="e">
        <f t="shared" si="2"/>
        <v>#DIV/0!</v>
      </c>
    </row>
    <row r="30" spans="1:9">
      <c r="A30" s="15"/>
      <c r="G30" s="18" t="e">
        <f t="shared" si="0"/>
        <v>#DIV/0!</v>
      </c>
      <c r="H30" s="18" t="e">
        <f t="shared" si="1"/>
        <v>#DIV/0!</v>
      </c>
      <c r="I30" s="19" t="e">
        <f t="shared" si="2"/>
        <v>#DIV/0!</v>
      </c>
    </row>
    <row r="31" spans="1:9">
      <c r="A31" s="15"/>
      <c r="G31" s="18" t="e">
        <f t="shared" si="0"/>
        <v>#DIV/0!</v>
      </c>
      <c r="H31" s="18" t="e">
        <f t="shared" si="1"/>
        <v>#DIV/0!</v>
      </c>
      <c r="I31" s="19" t="e">
        <f t="shared" si="2"/>
        <v>#DIV/0!</v>
      </c>
    </row>
    <row r="32" spans="1:9">
      <c r="A32" s="15"/>
      <c r="G32" s="18" t="e">
        <f t="shared" si="0"/>
        <v>#DIV/0!</v>
      </c>
      <c r="H32" s="18" t="e">
        <f t="shared" si="1"/>
        <v>#DIV/0!</v>
      </c>
      <c r="I32" s="19" t="e">
        <f t="shared" si="2"/>
        <v>#DIV/0!</v>
      </c>
    </row>
    <row r="33" spans="1:9">
      <c r="A33" s="15"/>
      <c r="G33" s="18" t="e">
        <f t="shared" si="0"/>
        <v>#DIV/0!</v>
      </c>
      <c r="H33" s="18" t="e">
        <f t="shared" si="1"/>
        <v>#DIV/0!</v>
      </c>
      <c r="I33" s="19" t="e">
        <f t="shared" si="2"/>
        <v>#DIV/0!</v>
      </c>
    </row>
    <row r="34" spans="1:9">
      <c r="A34" s="15"/>
      <c r="G34" s="18" t="e">
        <f t="shared" si="0"/>
        <v>#DIV/0!</v>
      </c>
      <c r="H34" s="18" t="e">
        <f t="shared" si="1"/>
        <v>#DIV/0!</v>
      </c>
      <c r="I34" s="19" t="e">
        <f t="shared" si="2"/>
        <v>#DIV/0!</v>
      </c>
    </row>
    <row r="35" spans="1:9">
      <c r="A35" s="15"/>
      <c r="G35" s="18" t="e">
        <f t="shared" si="0"/>
        <v>#DIV/0!</v>
      </c>
      <c r="H35" s="18" t="e">
        <f t="shared" si="1"/>
        <v>#DIV/0!</v>
      </c>
      <c r="I35" s="19" t="e">
        <f t="shared" si="2"/>
        <v>#DIV/0!</v>
      </c>
    </row>
    <row r="36" spans="1:9">
      <c r="A36" s="15"/>
      <c r="G36" s="18" t="e">
        <f t="shared" si="0"/>
        <v>#DIV/0!</v>
      </c>
      <c r="H36" s="18" t="e">
        <f t="shared" si="1"/>
        <v>#DIV/0!</v>
      </c>
      <c r="I36" s="19" t="e">
        <f t="shared" si="2"/>
        <v>#DIV/0!</v>
      </c>
    </row>
    <row r="37" spans="1:9">
      <c r="A37" s="15"/>
      <c r="G37" s="18" t="e">
        <f t="shared" si="0"/>
        <v>#DIV/0!</v>
      </c>
      <c r="H37" s="18" t="e">
        <f t="shared" si="1"/>
        <v>#DIV/0!</v>
      </c>
      <c r="I37" s="19" t="e">
        <f t="shared" si="2"/>
        <v>#DIV/0!</v>
      </c>
    </row>
    <row r="38" spans="1:9">
      <c r="A38" s="15"/>
      <c r="G38" s="18" t="e">
        <f t="shared" si="0"/>
        <v>#DIV/0!</v>
      </c>
      <c r="H38" s="18" t="e">
        <f t="shared" si="1"/>
        <v>#DIV/0!</v>
      </c>
      <c r="I38" s="19" t="e">
        <f t="shared" si="2"/>
        <v>#DIV/0!</v>
      </c>
    </row>
    <row r="39" spans="1:9">
      <c r="A39" s="15"/>
      <c r="G39" s="18" t="e">
        <f t="shared" si="0"/>
        <v>#DIV/0!</v>
      </c>
      <c r="H39" s="18" t="e">
        <f t="shared" si="1"/>
        <v>#DIV/0!</v>
      </c>
      <c r="I39" s="19" t="e">
        <f t="shared" si="2"/>
        <v>#DIV/0!</v>
      </c>
    </row>
    <row r="40" spans="1:9">
      <c r="A40" s="15"/>
      <c r="G40" s="18" t="e">
        <f t="shared" si="0"/>
        <v>#DIV/0!</v>
      </c>
      <c r="H40" s="18" t="e">
        <f t="shared" si="1"/>
        <v>#DIV/0!</v>
      </c>
      <c r="I40" s="19" t="e">
        <f t="shared" si="2"/>
        <v>#DIV/0!</v>
      </c>
    </row>
    <row r="41" spans="1:9">
      <c r="A41" s="15"/>
      <c r="G41" s="18" t="e">
        <f t="shared" si="0"/>
        <v>#DIV/0!</v>
      </c>
      <c r="H41" s="18" t="e">
        <f t="shared" si="1"/>
        <v>#DIV/0!</v>
      </c>
      <c r="I41" s="19" t="e">
        <f t="shared" si="2"/>
        <v>#DIV/0!</v>
      </c>
    </row>
    <row r="42" spans="1:9">
      <c r="A42" s="15"/>
      <c r="G42" s="18" t="e">
        <f t="shared" si="0"/>
        <v>#DIV/0!</v>
      </c>
      <c r="H42" s="18" t="e">
        <f t="shared" si="1"/>
        <v>#DIV/0!</v>
      </c>
      <c r="I42" s="19" t="e">
        <f t="shared" si="2"/>
        <v>#DIV/0!</v>
      </c>
    </row>
    <row r="43" spans="1:9">
      <c r="A43" s="15"/>
      <c r="G43" s="18" t="e">
        <f t="shared" si="0"/>
        <v>#DIV/0!</v>
      </c>
      <c r="H43" s="18" t="e">
        <f t="shared" si="1"/>
        <v>#DIV/0!</v>
      </c>
      <c r="I43" s="19" t="e">
        <f t="shared" si="2"/>
        <v>#DIV/0!</v>
      </c>
    </row>
    <row r="44" spans="1:9">
      <c r="A44" s="15"/>
      <c r="G44" s="18" t="e">
        <f t="shared" si="0"/>
        <v>#DIV/0!</v>
      </c>
      <c r="H44" s="18" t="e">
        <f t="shared" si="1"/>
        <v>#DIV/0!</v>
      </c>
      <c r="I44" s="19" t="e">
        <f t="shared" si="2"/>
        <v>#DIV/0!</v>
      </c>
    </row>
    <row r="45" spans="1:9">
      <c r="A45" s="15"/>
      <c r="G45" s="18" t="e">
        <f t="shared" si="0"/>
        <v>#DIV/0!</v>
      </c>
      <c r="H45" s="18" t="e">
        <f t="shared" si="1"/>
        <v>#DIV/0!</v>
      </c>
      <c r="I45" s="19" t="e">
        <f t="shared" si="2"/>
        <v>#DIV/0!</v>
      </c>
    </row>
    <row r="46" spans="1:9">
      <c r="A46" s="15"/>
      <c r="G46" s="18" t="e">
        <f t="shared" si="0"/>
        <v>#DIV/0!</v>
      </c>
      <c r="H46" s="18" t="e">
        <f t="shared" si="1"/>
        <v>#DIV/0!</v>
      </c>
      <c r="I46" s="19" t="e">
        <f t="shared" si="2"/>
        <v>#DIV/0!</v>
      </c>
    </row>
    <row r="47" spans="1:9">
      <c r="A47" s="15"/>
      <c r="G47" s="18" t="e">
        <f t="shared" si="0"/>
        <v>#DIV/0!</v>
      </c>
      <c r="H47" s="18" t="e">
        <f t="shared" si="1"/>
        <v>#DIV/0!</v>
      </c>
      <c r="I47" s="19" t="e">
        <f t="shared" si="2"/>
        <v>#DIV/0!</v>
      </c>
    </row>
    <row r="48" spans="1:9">
      <c r="A48" s="15"/>
      <c r="G48" s="18" t="e">
        <f t="shared" si="0"/>
        <v>#DIV/0!</v>
      </c>
      <c r="H48" s="18" t="e">
        <f t="shared" si="1"/>
        <v>#DIV/0!</v>
      </c>
      <c r="I48" s="19" t="e">
        <f t="shared" si="2"/>
        <v>#DIV/0!</v>
      </c>
    </row>
    <row r="49" spans="1:9">
      <c r="A49" s="15"/>
      <c r="G49" s="18" t="e">
        <f t="shared" si="0"/>
        <v>#DIV/0!</v>
      </c>
      <c r="H49" s="18" t="e">
        <f t="shared" si="1"/>
        <v>#DIV/0!</v>
      </c>
      <c r="I49" s="19" t="e">
        <f t="shared" si="2"/>
        <v>#DIV/0!</v>
      </c>
    </row>
    <row r="50" spans="1:9">
      <c r="A50" s="15"/>
      <c r="G50" s="18" t="e">
        <f t="shared" si="0"/>
        <v>#DIV/0!</v>
      </c>
      <c r="H50" s="18" t="e">
        <f t="shared" si="1"/>
        <v>#DIV/0!</v>
      </c>
      <c r="I50" s="19" t="e">
        <f t="shared" si="2"/>
        <v>#DIV/0!</v>
      </c>
    </row>
    <row r="51" spans="1:9">
      <c r="A51" s="15"/>
      <c r="G51" s="18" t="e">
        <f t="shared" si="0"/>
        <v>#DIV/0!</v>
      </c>
      <c r="H51" s="18" t="e">
        <f t="shared" si="1"/>
        <v>#DIV/0!</v>
      </c>
      <c r="I51" s="19" t="e">
        <f t="shared" si="2"/>
        <v>#DIV/0!</v>
      </c>
    </row>
    <row r="52" spans="1:9">
      <c r="A52" s="15"/>
      <c r="G52" s="18" t="e">
        <f t="shared" si="0"/>
        <v>#DIV/0!</v>
      </c>
      <c r="H52" s="18" t="e">
        <f t="shared" si="1"/>
        <v>#DIV/0!</v>
      </c>
      <c r="I52" s="19" t="e">
        <f t="shared" si="2"/>
        <v>#DIV/0!</v>
      </c>
    </row>
    <row r="53" spans="1:9">
      <c r="A53" s="15"/>
      <c r="G53" s="18" t="e">
        <f t="shared" si="0"/>
        <v>#DIV/0!</v>
      </c>
      <c r="H53" s="18" t="e">
        <f t="shared" si="1"/>
        <v>#DIV/0!</v>
      </c>
      <c r="I53" s="19" t="e">
        <f t="shared" si="2"/>
        <v>#DIV/0!</v>
      </c>
    </row>
    <row r="54" spans="1:9">
      <c r="A54" s="15"/>
      <c r="G54" s="18" t="e">
        <f t="shared" si="0"/>
        <v>#DIV/0!</v>
      </c>
      <c r="H54" s="18" t="e">
        <f t="shared" si="1"/>
        <v>#DIV/0!</v>
      </c>
      <c r="I54" s="19" t="e">
        <f t="shared" si="2"/>
        <v>#DIV/0!</v>
      </c>
    </row>
    <row r="55" spans="1:9">
      <c r="A55" s="15"/>
      <c r="G55" s="18" t="e">
        <f t="shared" si="0"/>
        <v>#DIV/0!</v>
      </c>
      <c r="H55" s="18" t="e">
        <f t="shared" si="1"/>
        <v>#DIV/0!</v>
      </c>
      <c r="I55" s="19" t="e">
        <f t="shared" si="2"/>
        <v>#DIV/0!</v>
      </c>
    </row>
    <row r="56" spans="1:9">
      <c r="A56" s="15"/>
      <c r="G56" s="18" t="e">
        <f t="shared" si="0"/>
        <v>#DIV/0!</v>
      </c>
      <c r="H56" s="18" t="e">
        <f t="shared" si="1"/>
        <v>#DIV/0!</v>
      </c>
      <c r="I56" s="19" t="e">
        <f t="shared" si="2"/>
        <v>#DIV/0!</v>
      </c>
    </row>
    <row r="57" spans="1:9">
      <c r="A57" s="15"/>
      <c r="G57" s="18" t="e">
        <f t="shared" si="0"/>
        <v>#DIV/0!</v>
      </c>
      <c r="H57" s="18" t="e">
        <f t="shared" si="1"/>
        <v>#DIV/0!</v>
      </c>
      <c r="I57" s="19" t="e">
        <f t="shared" si="2"/>
        <v>#DIV/0!</v>
      </c>
    </row>
    <row r="58" spans="1:9">
      <c r="A58" s="15"/>
      <c r="G58" s="18" t="e">
        <f t="shared" si="0"/>
        <v>#DIV/0!</v>
      </c>
      <c r="H58" s="18" t="e">
        <f t="shared" si="1"/>
        <v>#DIV/0!</v>
      </c>
      <c r="I58" s="19" t="e">
        <f t="shared" si="2"/>
        <v>#DIV/0!</v>
      </c>
    </row>
    <row r="59" spans="1:9">
      <c r="A59" s="15"/>
      <c r="G59" s="18" t="e">
        <f t="shared" si="0"/>
        <v>#DIV/0!</v>
      </c>
      <c r="H59" s="18" t="e">
        <f t="shared" si="1"/>
        <v>#DIV/0!</v>
      </c>
      <c r="I59" s="19" t="e">
        <f t="shared" si="2"/>
        <v>#DIV/0!</v>
      </c>
    </row>
    <row r="60" spans="1:9">
      <c r="A60" s="15"/>
      <c r="G60" s="18" t="e">
        <f t="shared" si="0"/>
        <v>#DIV/0!</v>
      </c>
      <c r="H60" s="18" t="e">
        <f t="shared" si="1"/>
        <v>#DIV/0!</v>
      </c>
      <c r="I60" s="19" t="e">
        <f t="shared" si="2"/>
        <v>#DIV/0!</v>
      </c>
    </row>
    <row r="61" spans="1:9">
      <c r="A61" s="15"/>
      <c r="G61" s="18" t="e">
        <f t="shared" si="0"/>
        <v>#DIV/0!</v>
      </c>
      <c r="H61" s="18" t="e">
        <f t="shared" si="1"/>
        <v>#DIV/0!</v>
      </c>
      <c r="I61" s="19" t="e">
        <f t="shared" si="2"/>
        <v>#DIV/0!</v>
      </c>
    </row>
    <row r="62" spans="1:9">
      <c r="A62" s="15"/>
      <c r="G62" s="18" t="e">
        <f t="shared" si="0"/>
        <v>#DIV/0!</v>
      </c>
      <c r="H62" s="18" t="e">
        <f t="shared" si="1"/>
        <v>#DIV/0!</v>
      </c>
      <c r="I62" s="19" t="e">
        <f t="shared" si="2"/>
        <v>#DIV/0!</v>
      </c>
    </row>
    <row r="63" spans="1:9">
      <c r="A63" s="15"/>
      <c r="G63" s="18" t="e">
        <f t="shared" si="0"/>
        <v>#DIV/0!</v>
      </c>
      <c r="H63" s="18" t="e">
        <f t="shared" si="1"/>
        <v>#DIV/0!</v>
      </c>
      <c r="I63" s="19" t="e">
        <f t="shared" si="2"/>
        <v>#DIV/0!</v>
      </c>
    </row>
    <row r="64" spans="1:9">
      <c r="A64" s="15"/>
      <c r="G64" s="18" t="e">
        <f t="shared" si="0"/>
        <v>#DIV/0!</v>
      </c>
      <c r="H64" s="18" t="e">
        <f t="shared" si="1"/>
        <v>#DIV/0!</v>
      </c>
      <c r="I64" s="19" t="e">
        <f t="shared" si="2"/>
        <v>#DIV/0!</v>
      </c>
    </row>
    <row r="65" spans="1:9">
      <c r="A65" s="15"/>
      <c r="G65" s="18" t="e">
        <f t="shared" si="0"/>
        <v>#DIV/0!</v>
      </c>
      <c r="H65" s="18" t="e">
        <f t="shared" si="1"/>
        <v>#DIV/0!</v>
      </c>
      <c r="I65" s="19" t="e">
        <f t="shared" si="2"/>
        <v>#DIV/0!</v>
      </c>
    </row>
    <row r="66" spans="1:9">
      <c r="A66" s="15"/>
      <c r="G66" s="18" t="e">
        <f t="shared" si="0"/>
        <v>#DIV/0!</v>
      </c>
      <c r="H66" s="18" t="e">
        <f t="shared" si="1"/>
        <v>#DIV/0!</v>
      </c>
      <c r="I66" s="19" t="e">
        <f t="shared" si="2"/>
        <v>#DIV/0!</v>
      </c>
    </row>
    <row r="67" spans="1:9">
      <c r="A67" s="15"/>
      <c r="G67" s="18" t="e">
        <f t="shared" si="0"/>
        <v>#DIV/0!</v>
      </c>
      <c r="H67" s="18" t="e">
        <f t="shared" si="1"/>
        <v>#DIV/0!</v>
      </c>
      <c r="I67" s="19" t="e">
        <f t="shared" si="2"/>
        <v>#DIV/0!</v>
      </c>
    </row>
    <row r="68" spans="1:9">
      <c r="A68" s="15"/>
      <c r="G68" s="18" t="e">
        <f t="shared" si="0"/>
        <v>#DIV/0!</v>
      </c>
      <c r="H68" s="18" t="e">
        <f t="shared" si="1"/>
        <v>#DIV/0!</v>
      </c>
      <c r="I68" s="19" t="e">
        <f t="shared" si="2"/>
        <v>#DIV/0!</v>
      </c>
    </row>
    <row r="69" spans="1:9">
      <c r="A69" s="15"/>
      <c r="G69" s="18" t="e">
        <f t="shared" si="0"/>
        <v>#DIV/0!</v>
      </c>
      <c r="H69" s="18" t="e">
        <f t="shared" si="1"/>
        <v>#DIV/0!</v>
      </c>
      <c r="I69" s="19" t="e">
        <f t="shared" si="2"/>
        <v>#DIV/0!</v>
      </c>
    </row>
    <row r="70" spans="1:9">
      <c r="A70" s="15"/>
      <c r="G70" s="18" t="e">
        <f t="shared" ref="G70" si="3">(AVERAGE(B70:E70)*F70)/F70</f>
        <v>#DIV/0!</v>
      </c>
      <c r="H70" s="18" t="e">
        <f t="shared" ref="H70" si="4">AVERAGE(B70:E70)</f>
        <v>#DIV/0!</v>
      </c>
      <c r="I70" s="19" t="e">
        <f t="shared" ref="I70" si="5">F70*AVERAGE(B70:E70)</f>
        <v>#DIV/0!</v>
      </c>
    </row>
    <row r="71" spans="1:9">
      <c r="A71" s="15"/>
      <c r="G71" s="18" t="e">
        <f t="shared" si="0"/>
        <v>#DIV/0!</v>
      </c>
      <c r="H71" s="18" t="e">
        <f t="shared" si="1"/>
        <v>#DIV/0!</v>
      </c>
      <c r="I71" s="19" t="e">
        <f t="shared" si="2"/>
        <v>#DIV/0!</v>
      </c>
    </row>
    <row r="72" spans="1:9">
      <c r="A72" s="15"/>
      <c r="G72" s="18" t="e">
        <f t="shared" si="0"/>
        <v>#DIV/0!</v>
      </c>
      <c r="H72" s="18" t="e">
        <f t="shared" si="1"/>
        <v>#DIV/0!</v>
      </c>
      <c r="I72" s="19" t="e">
        <f t="shared" si="2"/>
        <v>#DIV/0!</v>
      </c>
    </row>
    <row r="73" spans="1:9">
      <c r="A73" s="15"/>
      <c r="G73" s="18" t="e">
        <f t="shared" ref="G73:G136" si="6">(AVERAGE(B73:E73)*F73)/F73</f>
        <v>#DIV/0!</v>
      </c>
      <c r="H73" s="18" t="e">
        <f t="shared" ref="H73:H136" si="7">AVERAGE(B73:E73)</f>
        <v>#DIV/0!</v>
      </c>
      <c r="I73" s="19" t="e">
        <f t="shared" ref="I73:I94" si="8">F73*AVERAGE(B73:E73)</f>
        <v>#DIV/0!</v>
      </c>
    </row>
    <row r="74" spans="1:9">
      <c r="A74" s="15"/>
      <c r="G74" s="18" t="e">
        <f t="shared" si="6"/>
        <v>#DIV/0!</v>
      </c>
      <c r="H74" s="18" t="e">
        <f t="shared" si="7"/>
        <v>#DIV/0!</v>
      </c>
      <c r="I74" s="19" t="e">
        <f t="shared" si="8"/>
        <v>#DIV/0!</v>
      </c>
    </row>
    <row r="75" spans="1:9">
      <c r="A75" s="15"/>
      <c r="G75" s="18" t="e">
        <f t="shared" si="6"/>
        <v>#DIV/0!</v>
      </c>
      <c r="H75" s="18" t="e">
        <f t="shared" si="7"/>
        <v>#DIV/0!</v>
      </c>
      <c r="I75" s="19" t="e">
        <f t="shared" si="8"/>
        <v>#DIV/0!</v>
      </c>
    </row>
    <row r="76" spans="1:9">
      <c r="A76" s="15"/>
      <c r="G76" s="18" t="e">
        <f t="shared" si="6"/>
        <v>#DIV/0!</v>
      </c>
      <c r="H76" s="18" t="e">
        <f t="shared" si="7"/>
        <v>#DIV/0!</v>
      </c>
      <c r="I76" s="19" t="e">
        <f t="shared" si="8"/>
        <v>#DIV/0!</v>
      </c>
    </row>
    <row r="77" spans="1:9">
      <c r="A77" s="15"/>
      <c r="G77" s="18" t="e">
        <f t="shared" si="6"/>
        <v>#DIV/0!</v>
      </c>
      <c r="H77" s="18" t="e">
        <f t="shared" si="7"/>
        <v>#DIV/0!</v>
      </c>
      <c r="I77" s="19" t="e">
        <f t="shared" si="8"/>
        <v>#DIV/0!</v>
      </c>
    </row>
    <row r="78" spans="1:9">
      <c r="A78" s="15"/>
      <c r="G78" s="18" t="e">
        <f t="shared" si="6"/>
        <v>#DIV/0!</v>
      </c>
      <c r="H78" s="18" t="e">
        <f t="shared" si="7"/>
        <v>#DIV/0!</v>
      </c>
      <c r="I78" s="19" t="e">
        <f t="shared" si="8"/>
        <v>#DIV/0!</v>
      </c>
    </row>
    <row r="79" spans="1:9">
      <c r="A79" s="15"/>
      <c r="G79" s="18" t="e">
        <f t="shared" si="6"/>
        <v>#DIV/0!</v>
      </c>
      <c r="H79" s="18" t="e">
        <f t="shared" si="7"/>
        <v>#DIV/0!</v>
      </c>
      <c r="I79" s="19" t="e">
        <f t="shared" si="8"/>
        <v>#DIV/0!</v>
      </c>
    </row>
    <row r="80" spans="1:9">
      <c r="A80" s="15"/>
      <c r="G80" s="18" t="e">
        <f t="shared" si="6"/>
        <v>#DIV/0!</v>
      </c>
      <c r="H80" s="18" t="e">
        <f t="shared" si="7"/>
        <v>#DIV/0!</v>
      </c>
      <c r="I80" s="19" t="e">
        <f t="shared" si="8"/>
        <v>#DIV/0!</v>
      </c>
    </row>
    <row r="81" spans="1:11">
      <c r="A81" s="15"/>
      <c r="G81" s="18" t="e">
        <f t="shared" si="6"/>
        <v>#DIV/0!</v>
      </c>
      <c r="H81" s="18" t="e">
        <f t="shared" si="7"/>
        <v>#DIV/0!</v>
      </c>
      <c r="I81" s="19" t="e">
        <f t="shared" si="8"/>
        <v>#DIV/0!</v>
      </c>
    </row>
    <row r="82" spans="1:11">
      <c r="A82" s="15"/>
      <c r="G82" s="18" t="e">
        <f t="shared" si="6"/>
        <v>#DIV/0!</v>
      </c>
      <c r="H82" s="18" t="e">
        <f t="shared" si="7"/>
        <v>#DIV/0!</v>
      </c>
      <c r="I82" s="19" t="e">
        <f t="shared" si="8"/>
        <v>#DIV/0!</v>
      </c>
    </row>
    <row r="83" spans="1:11">
      <c r="A83" s="15"/>
      <c r="G83" s="18" t="e">
        <f t="shared" si="6"/>
        <v>#DIV/0!</v>
      </c>
      <c r="H83" s="18" t="e">
        <f t="shared" si="7"/>
        <v>#DIV/0!</v>
      </c>
      <c r="I83" s="19" t="e">
        <f t="shared" si="8"/>
        <v>#DIV/0!</v>
      </c>
    </row>
    <row r="84" spans="1:11">
      <c r="A84" s="15"/>
      <c r="G84" s="18" t="e">
        <f t="shared" si="6"/>
        <v>#DIV/0!</v>
      </c>
      <c r="H84" s="18" t="e">
        <f t="shared" si="7"/>
        <v>#DIV/0!</v>
      </c>
      <c r="I84" s="19" t="e">
        <f t="shared" si="8"/>
        <v>#DIV/0!</v>
      </c>
    </row>
    <row r="85" spans="1:11">
      <c r="A85" s="15"/>
      <c r="G85" s="18" t="e">
        <f t="shared" si="6"/>
        <v>#DIV/0!</v>
      </c>
      <c r="H85" s="18" t="e">
        <f t="shared" si="7"/>
        <v>#DIV/0!</v>
      </c>
      <c r="I85" s="19" t="e">
        <f t="shared" si="8"/>
        <v>#DIV/0!</v>
      </c>
    </row>
    <row r="86" spans="1:11">
      <c r="A86" s="15"/>
      <c r="G86" s="18" t="e">
        <f t="shared" si="6"/>
        <v>#DIV/0!</v>
      </c>
      <c r="H86" s="18" t="e">
        <f t="shared" si="7"/>
        <v>#DIV/0!</v>
      </c>
      <c r="I86" s="19" t="e">
        <f t="shared" si="8"/>
        <v>#DIV/0!</v>
      </c>
    </row>
    <row r="87" spans="1:11">
      <c r="A87" s="15"/>
      <c r="G87" s="18" t="e">
        <f t="shared" si="6"/>
        <v>#DIV/0!</v>
      </c>
      <c r="H87" s="18" t="e">
        <f t="shared" si="7"/>
        <v>#DIV/0!</v>
      </c>
      <c r="I87" s="19" t="e">
        <f t="shared" si="8"/>
        <v>#DIV/0!</v>
      </c>
    </row>
    <row r="88" spans="1:11">
      <c r="A88" s="15"/>
      <c r="G88" s="18" t="e">
        <f t="shared" si="6"/>
        <v>#DIV/0!</v>
      </c>
      <c r="H88" s="18" t="e">
        <f t="shared" si="7"/>
        <v>#DIV/0!</v>
      </c>
      <c r="I88" s="19" t="e">
        <f t="shared" si="8"/>
        <v>#DIV/0!</v>
      </c>
    </row>
    <row r="89" spans="1:11">
      <c r="A89" s="15"/>
      <c r="G89" s="18" t="e">
        <f t="shared" si="6"/>
        <v>#DIV/0!</v>
      </c>
      <c r="H89" s="18" t="e">
        <f t="shared" si="7"/>
        <v>#DIV/0!</v>
      </c>
      <c r="I89" s="19" t="e">
        <f t="shared" si="8"/>
        <v>#DIV/0!</v>
      </c>
    </row>
    <row r="90" spans="1:11">
      <c r="A90" s="15"/>
      <c r="G90" s="18" t="e">
        <f t="shared" si="6"/>
        <v>#DIV/0!</v>
      </c>
      <c r="H90" s="18" t="e">
        <f t="shared" si="7"/>
        <v>#DIV/0!</v>
      </c>
      <c r="I90" s="19" t="e">
        <f t="shared" si="8"/>
        <v>#DIV/0!</v>
      </c>
    </row>
    <row r="91" spans="1:11">
      <c r="A91" s="15"/>
      <c r="G91" s="18" t="e">
        <f t="shared" si="6"/>
        <v>#DIV/0!</v>
      </c>
      <c r="H91" s="18" t="e">
        <f t="shared" si="7"/>
        <v>#DIV/0!</v>
      </c>
      <c r="I91" s="19" t="e">
        <f t="shared" si="8"/>
        <v>#DIV/0!</v>
      </c>
    </row>
    <row r="92" spans="1:11">
      <c r="A92" s="15"/>
      <c r="G92" s="18" t="e">
        <f t="shared" si="6"/>
        <v>#DIV/0!</v>
      </c>
      <c r="H92" s="18" t="e">
        <f t="shared" si="7"/>
        <v>#DIV/0!</v>
      </c>
      <c r="I92" s="19" t="e">
        <f t="shared" si="8"/>
        <v>#DIV/0!</v>
      </c>
    </row>
    <row r="93" spans="1:11">
      <c r="A93" s="15"/>
      <c r="G93" s="18" t="e">
        <f t="shared" si="6"/>
        <v>#DIV/0!</v>
      </c>
      <c r="H93" s="18" t="e">
        <f t="shared" si="7"/>
        <v>#DIV/0!</v>
      </c>
      <c r="I93" s="19" t="e">
        <f t="shared" si="8"/>
        <v>#DIV/0!</v>
      </c>
    </row>
    <row r="94" spans="1:11">
      <c r="A94" s="15"/>
      <c r="G94" s="18" t="e">
        <f t="shared" si="6"/>
        <v>#DIV/0!</v>
      </c>
      <c r="H94" s="18" t="e">
        <f t="shared" si="7"/>
        <v>#DIV/0!</v>
      </c>
      <c r="I94" s="19" t="e">
        <f t="shared" si="8"/>
        <v>#DIV/0!</v>
      </c>
      <c r="J94" s="22"/>
      <c r="K94" s="15"/>
    </row>
    <row r="95" spans="1:11">
      <c r="A95" s="15"/>
      <c r="G95" s="18" t="e">
        <f t="shared" si="6"/>
        <v>#DIV/0!</v>
      </c>
      <c r="H95" s="18" t="e">
        <f t="shared" si="7"/>
        <v>#DIV/0!</v>
      </c>
      <c r="I95" s="19" t="e">
        <f t="shared" ref="I95:I135" si="9">F94*AVERAGE(B94:E94)</f>
        <v>#DIV/0!</v>
      </c>
    </row>
    <row r="96" spans="1:11">
      <c r="A96" s="15"/>
      <c r="G96" s="18" t="e">
        <f t="shared" si="6"/>
        <v>#DIV/0!</v>
      </c>
      <c r="H96" s="18" t="e">
        <f t="shared" si="7"/>
        <v>#DIV/0!</v>
      </c>
      <c r="I96" s="19" t="e">
        <f t="shared" si="9"/>
        <v>#DIV/0!</v>
      </c>
    </row>
    <row r="97" spans="1:9">
      <c r="A97" s="15"/>
      <c r="G97" s="18" t="e">
        <f t="shared" si="6"/>
        <v>#DIV/0!</v>
      </c>
      <c r="H97" s="18" t="e">
        <f t="shared" si="7"/>
        <v>#DIV/0!</v>
      </c>
      <c r="I97" s="19" t="e">
        <f t="shared" si="9"/>
        <v>#DIV/0!</v>
      </c>
    </row>
    <row r="98" spans="1:9">
      <c r="A98" s="15"/>
      <c r="G98" s="18" t="e">
        <f t="shared" si="6"/>
        <v>#DIV/0!</v>
      </c>
      <c r="H98" s="18" t="e">
        <f t="shared" si="7"/>
        <v>#DIV/0!</v>
      </c>
      <c r="I98" s="19" t="e">
        <f t="shared" si="9"/>
        <v>#DIV/0!</v>
      </c>
    </row>
    <row r="99" spans="1:9">
      <c r="A99" s="15"/>
      <c r="G99" s="18" t="e">
        <f t="shared" si="6"/>
        <v>#DIV/0!</v>
      </c>
      <c r="H99" s="18" t="e">
        <f t="shared" si="7"/>
        <v>#DIV/0!</v>
      </c>
      <c r="I99" s="19" t="e">
        <f t="shared" si="9"/>
        <v>#DIV/0!</v>
      </c>
    </row>
    <row r="100" spans="1:9">
      <c r="A100" s="15"/>
      <c r="G100" s="18" t="e">
        <f t="shared" si="6"/>
        <v>#DIV/0!</v>
      </c>
      <c r="H100" s="18" t="e">
        <f t="shared" si="7"/>
        <v>#DIV/0!</v>
      </c>
      <c r="I100" s="19" t="e">
        <f t="shared" si="9"/>
        <v>#DIV/0!</v>
      </c>
    </row>
    <row r="101" spans="1:9">
      <c r="A101" s="15"/>
      <c r="G101" s="18" t="e">
        <f t="shared" si="6"/>
        <v>#DIV/0!</v>
      </c>
      <c r="H101" s="18" t="e">
        <f t="shared" si="7"/>
        <v>#DIV/0!</v>
      </c>
      <c r="I101" s="19" t="e">
        <f t="shared" si="9"/>
        <v>#DIV/0!</v>
      </c>
    </row>
    <row r="102" spans="1:9">
      <c r="A102" s="15"/>
      <c r="G102" s="18" t="e">
        <f t="shared" si="6"/>
        <v>#DIV/0!</v>
      </c>
      <c r="H102" s="18" t="e">
        <f t="shared" si="7"/>
        <v>#DIV/0!</v>
      </c>
      <c r="I102" s="19" t="e">
        <f t="shared" si="9"/>
        <v>#DIV/0!</v>
      </c>
    </row>
    <row r="103" spans="1:9">
      <c r="A103" s="15"/>
      <c r="G103" s="18" t="e">
        <f t="shared" si="6"/>
        <v>#DIV/0!</v>
      </c>
      <c r="H103" s="18" t="e">
        <f t="shared" si="7"/>
        <v>#DIV/0!</v>
      </c>
      <c r="I103" s="19" t="e">
        <f t="shared" si="9"/>
        <v>#DIV/0!</v>
      </c>
    </row>
    <row r="104" spans="1:9">
      <c r="A104" s="15"/>
      <c r="G104" s="18" t="e">
        <f t="shared" si="6"/>
        <v>#DIV/0!</v>
      </c>
      <c r="H104" s="18" t="e">
        <f t="shared" si="7"/>
        <v>#DIV/0!</v>
      </c>
      <c r="I104" s="19" t="e">
        <f t="shared" si="9"/>
        <v>#DIV/0!</v>
      </c>
    </row>
    <row r="105" spans="1:9">
      <c r="A105" s="15"/>
      <c r="G105" s="18" t="e">
        <f t="shared" si="6"/>
        <v>#DIV/0!</v>
      </c>
      <c r="H105" s="18" t="e">
        <f t="shared" si="7"/>
        <v>#DIV/0!</v>
      </c>
      <c r="I105" s="19" t="e">
        <f t="shared" si="9"/>
        <v>#DIV/0!</v>
      </c>
    </row>
    <row r="106" spans="1:9">
      <c r="A106" s="15"/>
      <c r="G106" s="18" t="e">
        <f t="shared" si="6"/>
        <v>#DIV/0!</v>
      </c>
      <c r="H106" s="18" t="e">
        <f t="shared" si="7"/>
        <v>#DIV/0!</v>
      </c>
      <c r="I106" s="19" t="e">
        <f t="shared" si="9"/>
        <v>#DIV/0!</v>
      </c>
    </row>
    <row r="107" spans="1:9">
      <c r="A107" s="15"/>
      <c r="G107" s="18" t="e">
        <f t="shared" si="6"/>
        <v>#DIV/0!</v>
      </c>
      <c r="H107" s="18" t="e">
        <f t="shared" si="7"/>
        <v>#DIV/0!</v>
      </c>
      <c r="I107" s="19" t="e">
        <f t="shared" si="9"/>
        <v>#DIV/0!</v>
      </c>
    </row>
    <row r="108" spans="1:9">
      <c r="A108" s="15"/>
      <c r="G108" s="18" t="e">
        <f t="shared" si="6"/>
        <v>#DIV/0!</v>
      </c>
      <c r="H108" s="18" t="e">
        <f t="shared" si="7"/>
        <v>#DIV/0!</v>
      </c>
      <c r="I108" s="19" t="e">
        <f t="shared" si="9"/>
        <v>#DIV/0!</v>
      </c>
    </row>
    <row r="109" spans="1:9">
      <c r="A109" s="15"/>
      <c r="G109" s="18" t="e">
        <f t="shared" si="6"/>
        <v>#DIV/0!</v>
      </c>
      <c r="H109" s="18" t="e">
        <f t="shared" si="7"/>
        <v>#DIV/0!</v>
      </c>
      <c r="I109" s="19" t="e">
        <f t="shared" si="9"/>
        <v>#DIV/0!</v>
      </c>
    </row>
    <row r="110" spans="1:9">
      <c r="A110" s="15"/>
      <c r="G110" s="18" t="e">
        <f t="shared" si="6"/>
        <v>#DIV/0!</v>
      </c>
      <c r="H110" s="18" t="e">
        <f t="shared" si="7"/>
        <v>#DIV/0!</v>
      </c>
      <c r="I110" s="19" t="e">
        <f t="shared" si="9"/>
        <v>#DIV/0!</v>
      </c>
    </row>
    <row r="111" spans="1:9">
      <c r="A111" s="15"/>
      <c r="G111" s="18" t="e">
        <f t="shared" si="6"/>
        <v>#DIV/0!</v>
      </c>
      <c r="H111" s="18" t="e">
        <f t="shared" si="7"/>
        <v>#DIV/0!</v>
      </c>
      <c r="I111" s="19" t="e">
        <f t="shared" si="9"/>
        <v>#DIV/0!</v>
      </c>
    </row>
    <row r="112" spans="1:9">
      <c r="A112" s="15"/>
      <c r="G112" s="18" t="e">
        <f t="shared" si="6"/>
        <v>#DIV/0!</v>
      </c>
      <c r="H112" s="18" t="e">
        <f t="shared" si="7"/>
        <v>#DIV/0!</v>
      </c>
      <c r="I112" s="19" t="e">
        <f t="shared" si="9"/>
        <v>#DIV/0!</v>
      </c>
    </row>
    <row r="113" spans="1:9">
      <c r="A113" s="15"/>
      <c r="G113" s="18" t="e">
        <f t="shared" si="6"/>
        <v>#DIV/0!</v>
      </c>
      <c r="H113" s="18" t="e">
        <f t="shared" si="7"/>
        <v>#DIV/0!</v>
      </c>
      <c r="I113" s="19" t="e">
        <f t="shared" si="9"/>
        <v>#DIV/0!</v>
      </c>
    </row>
    <row r="114" spans="1:9">
      <c r="A114" s="15"/>
      <c r="G114" s="18" t="e">
        <f t="shared" si="6"/>
        <v>#DIV/0!</v>
      </c>
      <c r="H114" s="18" t="e">
        <f t="shared" si="7"/>
        <v>#DIV/0!</v>
      </c>
      <c r="I114" s="19" t="e">
        <f t="shared" si="9"/>
        <v>#DIV/0!</v>
      </c>
    </row>
    <row r="115" spans="1:9">
      <c r="A115" s="15"/>
      <c r="G115" s="18" t="e">
        <f t="shared" si="6"/>
        <v>#DIV/0!</v>
      </c>
      <c r="H115" s="18" t="e">
        <f t="shared" si="7"/>
        <v>#DIV/0!</v>
      </c>
      <c r="I115" s="19" t="e">
        <f t="shared" si="9"/>
        <v>#DIV/0!</v>
      </c>
    </row>
    <row r="116" spans="1:9">
      <c r="A116" s="15"/>
      <c r="G116" s="18" t="e">
        <f t="shared" si="6"/>
        <v>#DIV/0!</v>
      </c>
      <c r="H116" s="18" t="e">
        <f t="shared" si="7"/>
        <v>#DIV/0!</v>
      </c>
      <c r="I116" s="19" t="e">
        <f t="shared" si="9"/>
        <v>#DIV/0!</v>
      </c>
    </row>
    <row r="117" spans="1:9">
      <c r="A117" s="15"/>
      <c r="G117" s="18" t="e">
        <f t="shared" si="6"/>
        <v>#DIV/0!</v>
      </c>
      <c r="H117" s="18" t="e">
        <f t="shared" si="7"/>
        <v>#DIV/0!</v>
      </c>
      <c r="I117" s="19" t="e">
        <f t="shared" si="9"/>
        <v>#DIV/0!</v>
      </c>
    </row>
    <row r="118" spans="1:9">
      <c r="A118" s="15"/>
      <c r="G118" s="18" t="e">
        <f t="shared" si="6"/>
        <v>#DIV/0!</v>
      </c>
      <c r="H118" s="18" t="e">
        <f t="shared" si="7"/>
        <v>#DIV/0!</v>
      </c>
      <c r="I118" s="19" t="e">
        <f t="shared" si="9"/>
        <v>#DIV/0!</v>
      </c>
    </row>
    <row r="119" spans="1:9">
      <c r="A119" s="15"/>
      <c r="G119" s="18" t="e">
        <f t="shared" si="6"/>
        <v>#DIV/0!</v>
      </c>
      <c r="H119" s="18" t="e">
        <f t="shared" si="7"/>
        <v>#DIV/0!</v>
      </c>
      <c r="I119" s="19" t="e">
        <f t="shared" si="9"/>
        <v>#DIV/0!</v>
      </c>
    </row>
    <row r="120" spans="1:9">
      <c r="A120" s="15"/>
      <c r="G120" s="18" t="e">
        <f t="shared" si="6"/>
        <v>#DIV/0!</v>
      </c>
      <c r="H120" s="18" t="e">
        <f t="shared" si="7"/>
        <v>#DIV/0!</v>
      </c>
      <c r="I120" s="19" t="e">
        <f t="shared" si="9"/>
        <v>#DIV/0!</v>
      </c>
    </row>
    <row r="121" spans="1:9">
      <c r="A121" s="15"/>
      <c r="G121" s="18" t="e">
        <f t="shared" si="6"/>
        <v>#DIV/0!</v>
      </c>
      <c r="H121" s="18" t="e">
        <f t="shared" si="7"/>
        <v>#DIV/0!</v>
      </c>
      <c r="I121" s="19" t="e">
        <f t="shared" si="9"/>
        <v>#DIV/0!</v>
      </c>
    </row>
    <row r="122" spans="1:9">
      <c r="A122" s="15"/>
      <c r="G122" s="18" t="e">
        <f t="shared" si="6"/>
        <v>#DIV/0!</v>
      </c>
      <c r="H122" s="18" t="e">
        <f t="shared" si="7"/>
        <v>#DIV/0!</v>
      </c>
      <c r="I122" s="19" t="e">
        <f t="shared" si="9"/>
        <v>#DIV/0!</v>
      </c>
    </row>
    <row r="123" spans="1:9">
      <c r="A123" s="15"/>
      <c r="G123" s="18" t="e">
        <f t="shared" si="6"/>
        <v>#DIV/0!</v>
      </c>
      <c r="H123" s="18" t="e">
        <f t="shared" si="7"/>
        <v>#DIV/0!</v>
      </c>
      <c r="I123" s="19" t="e">
        <f t="shared" si="9"/>
        <v>#DIV/0!</v>
      </c>
    </row>
    <row r="124" spans="1:9">
      <c r="A124" s="15"/>
      <c r="G124" s="18" t="e">
        <f t="shared" si="6"/>
        <v>#DIV/0!</v>
      </c>
      <c r="H124" s="18" t="e">
        <f t="shared" si="7"/>
        <v>#DIV/0!</v>
      </c>
      <c r="I124" s="19" t="e">
        <f t="shared" si="9"/>
        <v>#DIV/0!</v>
      </c>
    </row>
    <row r="125" spans="1:9">
      <c r="A125" s="15"/>
      <c r="G125" s="18" t="e">
        <f t="shared" si="6"/>
        <v>#DIV/0!</v>
      </c>
      <c r="H125" s="18" t="e">
        <f t="shared" si="7"/>
        <v>#DIV/0!</v>
      </c>
      <c r="I125" s="19" t="e">
        <f t="shared" si="9"/>
        <v>#DIV/0!</v>
      </c>
    </row>
    <row r="126" spans="1:9">
      <c r="A126" s="15"/>
      <c r="G126" s="18" t="e">
        <f t="shared" si="6"/>
        <v>#DIV/0!</v>
      </c>
      <c r="H126" s="18" t="e">
        <f t="shared" si="7"/>
        <v>#DIV/0!</v>
      </c>
      <c r="I126" s="19" t="e">
        <f t="shared" si="9"/>
        <v>#DIV/0!</v>
      </c>
    </row>
    <row r="127" spans="1:9">
      <c r="A127" s="15"/>
      <c r="G127" s="18" t="e">
        <f t="shared" si="6"/>
        <v>#DIV/0!</v>
      </c>
      <c r="H127" s="18" t="e">
        <f t="shared" si="7"/>
        <v>#DIV/0!</v>
      </c>
      <c r="I127" s="19" t="e">
        <f t="shared" si="9"/>
        <v>#DIV/0!</v>
      </c>
    </row>
    <row r="128" spans="1:9">
      <c r="A128" s="15"/>
      <c r="G128" s="18" t="e">
        <f t="shared" si="6"/>
        <v>#DIV/0!</v>
      </c>
      <c r="H128" s="18" t="e">
        <f t="shared" si="7"/>
        <v>#DIV/0!</v>
      </c>
      <c r="I128" s="19" t="e">
        <f t="shared" si="9"/>
        <v>#DIV/0!</v>
      </c>
    </row>
    <row r="129" spans="1:9">
      <c r="A129" s="15"/>
      <c r="G129" s="18" t="e">
        <f t="shared" si="6"/>
        <v>#DIV/0!</v>
      </c>
      <c r="H129" s="18" t="e">
        <f t="shared" si="7"/>
        <v>#DIV/0!</v>
      </c>
      <c r="I129" s="19" t="e">
        <f t="shared" si="9"/>
        <v>#DIV/0!</v>
      </c>
    </row>
    <row r="130" spans="1:9">
      <c r="A130" s="15"/>
      <c r="G130" s="18" t="e">
        <f t="shared" si="6"/>
        <v>#DIV/0!</v>
      </c>
      <c r="H130" s="18" t="e">
        <f t="shared" si="7"/>
        <v>#DIV/0!</v>
      </c>
      <c r="I130" s="19" t="e">
        <f t="shared" si="9"/>
        <v>#DIV/0!</v>
      </c>
    </row>
    <row r="131" spans="1:9">
      <c r="A131" s="15"/>
      <c r="G131" s="18" t="e">
        <f t="shared" si="6"/>
        <v>#DIV/0!</v>
      </c>
      <c r="H131" s="18" t="e">
        <f t="shared" si="7"/>
        <v>#DIV/0!</v>
      </c>
      <c r="I131" s="19" t="e">
        <f t="shared" si="9"/>
        <v>#DIV/0!</v>
      </c>
    </row>
    <row r="132" spans="1:9">
      <c r="A132" s="15"/>
      <c r="G132" s="18" t="e">
        <f t="shared" si="6"/>
        <v>#DIV/0!</v>
      </c>
      <c r="H132" s="18" t="e">
        <f t="shared" si="7"/>
        <v>#DIV/0!</v>
      </c>
      <c r="I132" s="19" t="e">
        <f t="shared" si="9"/>
        <v>#DIV/0!</v>
      </c>
    </row>
    <row r="133" spans="1:9">
      <c r="A133" s="15"/>
      <c r="G133" s="18" t="e">
        <f t="shared" si="6"/>
        <v>#DIV/0!</v>
      </c>
      <c r="H133" s="18" t="e">
        <f t="shared" si="7"/>
        <v>#DIV/0!</v>
      </c>
      <c r="I133" s="19" t="e">
        <f t="shared" si="9"/>
        <v>#DIV/0!</v>
      </c>
    </row>
    <row r="134" spans="1:9">
      <c r="A134" s="15"/>
      <c r="G134" s="18" t="e">
        <f t="shared" si="6"/>
        <v>#DIV/0!</v>
      </c>
      <c r="H134" s="18" t="e">
        <f t="shared" si="7"/>
        <v>#DIV/0!</v>
      </c>
      <c r="I134" s="19" t="e">
        <f t="shared" si="9"/>
        <v>#DIV/0!</v>
      </c>
    </row>
    <row r="135" spans="1:9">
      <c r="A135" s="15"/>
      <c r="G135" s="18" t="e">
        <f t="shared" si="6"/>
        <v>#DIV/0!</v>
      </c>
      <c r="H135" s="18" t="e">
        <f t="shared" si="7"/>
        <v>#DIV/0!</v>
      </c>
      <c r="I135" s="19" t="e">
        <f t="shared" si="9"/>
        <v>#DIV/0!</v>
      </c>
    </row>
    <row r="136" spans="1:9">
      <c r="A136" s="15"/>
      <c r="G136" s="18" t="e">
        <f t="shared" si="6"/>
        <v>#DIV/0!</v>
      </c>
      <c r="H136" s="18" t="e">
        <f t="shared" si="7"/>
        <v>#DIV/0!</v>
      </c>
      <c r="I136" s="19" t="e">
        <f t="shared" ref="I136" si="10">F136*AVERAGE(B136:E136)</f>
        <v>#DIV/0!</v>
      </c>
    </row>
  </sheetData>
  <conditionalFormatting sqref="I8:I1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G146"/>
  <sheetViews>
    <sheetView workbookViewId="0">
      <selection activeCell="E2" sqref="E2"/>
    </sheetView>
  </sheetViews>
  <sheetFormatPr defaultColWidth="8.85546875" defaultRowHeight="15"/>
  <cols>
    <col min="1" max="1" width="10.42578125" bestFit="1" customWidth="1"/>
    <col min="3" max="3" width="12.140625" bestFit="1" customWidth="1"/>
    <col min="5" max="5" width="9.5703125" bestFit="1" customWidth="1"/>
    <col min="6" max="6" width="12.5703125" bestFit="1" customWidth="1"/>
    <col min="7" max="7" width="11.85546875" bestFit="1" customWidth="1"/>
  </cols>
  <sheetData>
    <row r="2" spans="1:7">
      <c r="A2" t="s">
        <v>96</v>
      </c>
      <c r="B2" t="s">
        <v>105</v>
      </c>
      <c r="C2" t="s">
        <v>104</v>
      </c>
      <c r="E2" t="s">
        <v>96</v>
      </c>
      <c r="F2" t="s">
        <v>105</v>
      </c>
      <c r="G2" t="s">
        <v>104</v>
      </c>
    </row>
    <row r="3" spans="1:7">
      <c r="A3" s="15">
        <f>Data!A8</f>
        <v>0</v>
      </c>
      <c r="B3" s="1" t="e">
        <f>Data!H8</f>
        <v>#DIV/0!</v>
      </c>
      <c r="C3" s="1" t="e">
        <f>Data!I8</f>
        <v>#DIV/0!</v>
      </c>
      <c r="E3" s="15">
        <f>Data!A108</f>
        <v>0</v>
      </c>
      <c r="F3" s="1" t="e">
        <f>Data!H109</f>
        <v>#DIV/0!</v>
      </c>
      <c r="G3" s="22" t="e">
        <f>Data!I109</f>
        <v>#DIV/0!</v>
      </c>
    </row>
    <row r="4" spans="1:7">
      <c r="A4" s="15">
        <f>Data!A9</f>
        <v>0</v>
      </c>
      <c r="B4" s="1" t="e">
        <f>Data!H9</f>
        <v>#DIV/0!</v>
      </c>
      <c r="C4" s="1" t="e">
        <f>Data!I9</f>
        <v>#DIV/0!</v>
      </c>
      <c r="E4" s="15">
        <f>Data!A109</f>
        <v>0</v>
      </c>
      <c r="F4" s="1" t="e">
        <f>Data!H110</f>
        <v>#DIV/0!</v>
      </c>
      <c r="G4" s="22" t="e">
        <f>Data!I110</f>
        <v>#DIV/0!</v>
      </c>
    </row>
    <row r="5" spans="1:7">
      <c r="A5" s="15">
        <f>Data!A10</f>
        <v>0</v>
      </c>
      <c r="B5" s="1" t="e">
        <f>Data!H10</f>
        <v>#DIV/0!</v>
      </c>
      <c r="C5" s="1" t="e">
        <f>Data!I10</f>
        <v>#DIV/0!</v>
      </c>
      <c r="E5" s="15">
        <f>Data!A110</f>
        <v>0</v>
      </c>
      <c r="F5" s="1" t="e">
        <f>Data!H111</f>
        <v>#DIV/0!</v>
      </c>
      <c r="G5" s="22" t="e">
        <f>Data!I111</f>
        <v>#DIV/0!</v>
      </c>
    </row>
    <row r="6" spans="1:7">
      <c r="A6" s="15">
        <f>Data!A11</f>
        <v>0</v>
      </c>
      <c r="B6" s="1" t="e">
        <f>Data!H11</f>
        <v>#DIV/0!</v>
      </c>
      <c r="C6" s="1" t="e">
        <f>Data!I11</f>
        <v>#DIV/0!</v>
      </c>
      <c r="E6" s="15">
        <f>Data!A111</f>
        <v>0</v>
      </c>
      <c r="F6" s="1" t="e">
        <f>Data!H112</f>
        <v>#DIV/0!</v>
      </c>
      <c r="G6" s="22" t="e">
        <f>Data!I112</f>
        <v>#DIV/0!</v>
      </c>
    </row>
    <row r="7" spans="1:7">
      <c r="A7" s="15">
        <f>Data!A12</f>
        <v>0</v>
      </c>
      <c r="B7" s="1" t="e">
        <f>Data!H12</f>
        <v>#DIV/0!</v>
      </c>
      <c r="C7" s="1" t="e">
        <f>Data!I12</f>
        <v>#DIV/0!</v>
      </c>
      <c r="E7" s="15">
        <f>Data!A112</f>
        <v>0</v>
      </c>
      <c r="F7" s="1" t="e">
        <f>Data!H113</f>
        <v>#DIV/0!</v>
      </c>
      <c r="G7" s="22" t="e">
        <f>Data!I113</f>
        <v>#DIV/0!</v>
      </c>
    </row>
    <row r="8" spans="1:7">
      <c r="A8" s="15">
        <f>Data!A13</f>
        <v>0</v>
      </c>
      <c r="B8" s="1" t="e">
        <f>Data!H13</f>
        <v>#DIV/0!</v>
      </c>
      <c r="C8" s="1" t="e">
        <f>Data!I13</f>
        <v>#DIV/0!</v>
      </c>
      <c r="E8" s="15">
        <f>Data!A113</f>
        <v>0</v>
      </c>
      <c r="F8" s="1" t="e">
        <f>Data!H114</f>
        <v>#DIV/0!</v>
      </c>
      <c r="G8" s="22" t="e">
        <f>Data!I114</f>
        <v>#DIV/0!</v>
      </c>
    </row>
    <row r="9" spans="1:7">
      <c r="A9" s="15">
        <f>Data!A14</f>
        <v>0</v>
      </c>
      <c r="B9" s="1" t="e">
        <f>Data!H14</f>
        <v>#DIV/0!</v>
      </c>
      <c r="C9" s="1" t="e">
        <f>Data!I14</f>
        <v>#DIV/0!</v>
      </c>
      <c r="E9" s="15">
        <f>Data!A114</f>
        <v>0</v>
      </c>
      <c r="F9" s="1" t="e">
        <f>Data!H115</f>
        <v>#DIV/0!</v>
      </c>
      <c r="G9" s="22" t="e">
        <f>Data!I115</f>
        <v>#DIV/0!</v>
      </c>
    </row>
    <row r="10" spans="1:7">
      <c r="A10" s="15">
        <f>Data!A15</f>
        <v>0</v>
      </c>
      <c r="B10" s="1" t="e">
        <f>Data!H15</f>
        <v>#DIV/0!</v>
      </c>
      <c r="C10" s="1" t="e">
        <f>Data!I15</f>
        <v>#DIV/0!</v>
      </c>
      <c r="E10" s="15">
        <f>Data!A115</f>
        <v>0</v>
      </c>
      <c r="F10" s="1" t="e">
        <f>Data!H116</f>
        <v>#DIV/0!</v>
      </c>
      <c r="G10" s="22" t="e">
        <f>Data!I116</f>
        <v>#DIV/0!</v>
      </c>
    </row>
    <row r="11" spans="1:7">
      <c r="A11" s="15">
        <f>Data!A16</f>
        <v>0</v>
      </c>
      <c r="B11" s="1" t="e">
        <f>Data!H16</f>
        <v>#DIV/0!</v>
      </c>
      <c r="C11" s="1" t="e">
        <f>Data!I16</f>
        <v>#DIV/0!</v>
      </c>
      <c r="E11" s="15">
        <f>Data!A116</f>
        <v>0</v>
      </c>
      <c r="F11" s="1" t="e">
        <f>Data!H117</f>
        <v>#DIV/0!</v>
      </c>
      <c r="G11" s="22" t="e">
        <f>Data!I117</f>
        <v>#DIV/0!</v>
      </c>
    </row>
    <row r="12" spans="1:7">
      <c r="A12" s="15">
        <f>Data!A17</f>
        <v>0</v>
      </c>
      <c r="B12" s="1" t="e">
        <f>Data!H17</f>
        <v>#DIV/0!</v>
      </c>
      <c r="C12" s="1" t="e">
        <f>Data!I17</f>
        <v>#DIV/0!</v>
      </c>
      <c r="E12" s="15">
        <f>Data!A117</f>
        <v>0</v>
      </c>
      <c r="F12" s="1" t="e">
        <f>Data!H118</f>
        <v>#DIV/0!</v>
      </c>
      <c r="G12" s="22" t="e">
        <f>Data!I118</f>
        <v>#DIV/0!</v>
      </c>
    </row>
    <row r="13" spans="1:7">
      <c r="A13" s="15">
        <f>Data!A18</f>
        <v>0</v>
      </c>
      <c r="B13" s="1" t="e">
        <f>Data!H18</f>
        <v>#DIV/0!</v>
      </c>
      <c r="C13" s="1" t="e">
        <f>Data!I18</f>
        <v>#DIV/0!</v>
      </c>
      <c r="E13" s="15">
        <f>Data!A118</f>
        <v>0</v>
      </c>
      <c r="F13" s="1" t="e">
        <f>Data!H119</f>
        <v>#DIV/0!</v>
      </c>
      <c r="G13" s="22" t="e">
        <f>Data!I119</f>
        <v>#DIV/0!</v>
      </c>
    </row>
    <row r="14" spans="1:7">
      <c r="A14" s="15">
        <f>Data!A19</f>
        <v>0</v>
      </c>
      <c r="B14" s="1" t="e">
        <f>Data!H19</f>
        <v>#DIV/0!</v>
      </c>
      <c r="C14" s="1" t="e">
        <f>Data!I19</f>
        <v>#DIV/0!</v>
      </c>
      <c r="E14" s="15">
        <f>Data!A119</f>
        <v>0</v>
      </c>
      <c r="F14" s="1" t="e">
        <f>Data!H120</f>
        <v>#DIV/0!</v>
      </c>
      <c r="G14" s="22" t="e">
        <f>Data!I120</f>
        <v>#DIV/0!</v>
      </c>
    </row>
    <row r="15" spans="1:7">
      <c r="A15" s="15">
        <f>Data!A20</f>
        <v>0</v>
      </c>
      <c r="B15" s="1" t="e">
        <f>Data!H20</f>
        <v>#DIV/0!</v>
      </c>
      <c r="C15" s="1" t="e">
        <f>Data!I20</f>
        <v>#DIV/0!</v>
      </c>
      <c r="E15" s="15">
        <f>Data!A120</f>
        <v>0</v>
      </c>
      <c r="F15" s="1" t="e">
        <f>Data!H121</f>
        <v>#DIV/0!</v>
      </c>
      <c r="G15" s="22" t="e">
        <f>Data!I121</f>
        <v>#DIV/0!</v>
      </c>
    </row>
    <row r="16" spans="1:7">
      <c r="A16" s="15">
        <f>Data!A21</f>
        <v>0</v>
      </c>
      <c r="B16" s="1" t="e">
        <f>Data!H21</f>
        <v>#DIV/0!</v>
      </c>
      <c r="C16" s="1" t="e">
        <f>Data!I21</f>
        <v>#DIV/0!</v>
      </c>
      <c r="E16" s="15">
        <f>Data!A121</f>
        <v>0</v>
      </c>
      <c r="F16" s="1" t="e">
        <f>Data!H122</f>
        <v>#DIV/0!</v>
      </c>
      <c r="G16" s="22" t="e">
        <f>Data!I122</f>
        <v>#DIV/0!</v>
      </c>
    </row>
    <row r="17" spans="1:7">
      <c r="A17" s="15">
        <f>Data!A22</f>
        <v>0</v>
      </c>
      <c r="B17" s="1" t="e">
        <f>Data!H22</f>
        <v>#DIV/0!</v>
      </c>
      <c r="C17" s="1" t="e">
        <f>Data!I22</f>
        <v>#DIV/0!</v>
      </c>
      <c r="E17" s="15">
        <f>Data!A122</f>
        <v>0</v>
      </c>
      <c r="F17" s="1" t="e">
        <f>Data!H123</f>
        <v>#DIV/0!</v>
      </c>
      <c r="G17" s="22" t="e">
        <f>Data!I123</f>
        <v>#DIV/0!</v>
      </c>
    </row>
    <row r="18" spans="1:7">
      <c r="A18" s="15">
        <f>Data!A23</f>
        <v>0</v>
      </c>
      <c r="B18" s="1" t="e">
        <f>Data!H23</f>
        <v>#DIV/0!</v>
      </c>
      <c r="C18" s="1" t="e">
        <f>Data!I23</f>
        <v>#DIV/0!</v>
      </c>
      <c r="E18" s="15">
        <f>Data!A123</f>
        <v>0</v>
      </c>
      <c r="F18" s="1" t="e">
        <f>Data!H124</f>
        <v>#DIV/0!</v>
      </c>
      <c r="G18" s="22" t="e">
        <f>Data!I124</f>
        <v>#DIV/0!</v>
      </c>
    </row>
    <row r="19" spans="1:7">
      <c r="A19" s="15">
        <f>Data!A24</f>
        <v>0</v>
      </c>
      <c r="B19" s="1" t="e">
        <f>Data!H24</f>
        <v>#DIV/0!</v>
      </c>
      <c r="C19" s="1" t="e">
        <f>Data!I24</f>
        <v>#DIV/0!</v>
      </c>
      <c r="E19" s="15">
        <f>Data!A124</f>
        <v>0</v>
      </c>
      <c r="F19" s="1" t="e">
        <f>Data!H125</f>
        <v>#DIV/0!</v>
      </c>
      <c r="G19" s="22" t="e">
        <f>Data!I125</f>
        <v>#DIV/0!</v>
      </c>
    </row>
    <row r="20" spans="1:7">
      <c r="A20" s="15">
        <f>Data!A25</f>
        <v>0</v>
      </c>
      <c r="B20" s="1" t="e">
        <f>Data!H25</f>
        <v>#DIV/0!</v>
      </c>
      <c r="C20" s="1" t="e">
        <f>Data!I25</f>
        <v>#DIV/0!</v>
      </c>
      <c r="E20" s="15">
        <f>Data!A125</f>
        <v>0</v>
      </c>
      <c r="F20" s="1" t="e">
        <f>Data!H126</f>
        <v>#DIV/0!</v>
      </c>
      <c r="G20" s="22" t="e">
        <f>Data!I126</f>
        <v>#DIV/0!</v>
      </c>
    </row>
    <row r="21" spans="1:7">
      <c r="A21" s="15">
        <f>Data!A26</f>
        <v>0</v>
      </c>
      <c r="B21" s="1" t="e">
        <f>Data!H26</f>
        <v>#DIV/0!</v>
      </c>
      <c r="C21" s="1" t="e">
        <f>Data!I26</f>
        <v>#DIV/0!</v>
      </c>
      <c r="E21" s="15">
        <f>Data!A126</f>
        <v>0</v>
      </c>
      <c r="F21" s="1" t="e">
        <f>Data!H127</f>
        <v>#DIV/0!</v>
      </c>
      <c r="G21" s="22" t="e">
        <f>Data!I127</f>
        <v>#DIV/0!</v>
      </c>
    </row>
    <row r="22" spans="1:7">
      <c r="A22" s="15">
        <f>Data!A27</f>
        <v>0</v>
      </c>
      <c r="B22" s="1" t="e">
        <f>Data!H27</f>
        <v>#DIV/0!</v>
      </c>
      <c r="C22" s="1" t="e">
        <f>Data!I27</f>
        <v>#DIV/0!</v>
      </c>
      <c r="E22" s="15">
        <f>Data!A127</f>
        <v>0</v>
      </c>
      <c r="F22" s="1" t="e">
        <f>Data!H128</f>
        <v>#DIV/0!</v>
      </c>
      <c r="G22" s="22" t="e">
        <f>Data!I128</f>
        <v>#DIV/0!</v>
      </c>
    </row>
    <row r="23" spans="1:7">
      <c r="A23" s="15">
        <f>Data!A28</f>
        <v>0</v>
      </c>
      <c r="B23" s="1" t="e">
        <f>Data!H28</f>
        <v>#DIV/0!</v>
      </c>
      <c r="C23" s="1" t="e">
        <f>Data!I28</f>
        <v>#DIV/0!</v>
      </c>
      <c r="E23" s="15">
        <f>Data!A128</f>
        <v>0</v>
      </c>
      <c r="F23" s="1" t="e">
        <f>Data!H129</f>
        <v>#DIV/0!</v>
      </c>
      <c r="G23" s="22" t="e">
        <f>Data!I129</f>
        <v>#DIV/0!</v>
      </c>
    </row>
    <row r="24" spans="1:7">
      <c r="A24" s="15">
        <f>Data!A29</f>
        <v>0</v>
      </c>
      <c r="B24" s="1" t="e">
        <f>Data!H29</f>
        <v>#DIV/0!</v>
      </c>
      <c r="C24" s="1" t="e">
        <f>Data!I29</f>
        <v>#DIV/0!</v>
      </c>
      <c r="E24" s="15">
        <f>Data!A129</f>
        <v>0</v>
      </c>
      <c r="F24" s="1" t="e">
        <f>Data!H130</f>
        <v>#DIV/0!</v>
      </c>
      <c r="G24" s="22" t="e">
        <f>Data!I130</f>
        <v>#DIV/0!</v>
      </c>
    </row>
    <row r="25" spans="1:7">
      <c r="A25" s="15">
        <f>Data!A30</f>
        <v>0</v>
      </c>
      <c r="B25" s="1" t="e">
        <f>Data!H30</f>
        <v>#DIV/0!</v>
      </c>
      <c r="C25" s="1" t="e">
        <f>Data!I30</f>
        <v>#DIV/0!</v>
      </c>
      <c r="E25" s="15"/>
      <c r="F25" s="1"/>
      <c r="G25" s="22"/>
    </row>
    <row r="26" spans="1:7">
      <c r="A26" s="15">
        <f>Data!A31</f>
        <v>0</v>
      </c>
      <c r="B26" s="1" t="e">
        <f>Data!H31</f>
        <v>#DIV/0!</v>
      </c>
      <c r="C26" s="1" t="e">
        <f>Data!I31</f>
        <v>#DIV/0!</v>
      </c>
      <c r="E26" s="15"/>
      <c r="F26" s="1"/>
      <c r="G26" s="22"/>
    </row>
    <row r="27" spans="1:7">
      <c r="A27" s="15">
        <f>Data!A32</f>
        <v>0</v>
      </c>
      <c r="B27" s="1" t="e">
        <f>Data!H32</f>
        <v>#DIV/0!</v>
      </c>
      <c r="C27" s="1" t="e">
        <f>Data!I32</f>
        <v>#DIV/0!</v>
      </c>
    </row>
    <row r="28" spans="1:7">
      <c r="A28" s="15">
        <f>Data!A33</f>
        <v>0</v>
      </c>
      <c r="B28" s="1" t="e">
        <f>Data!H33</f>
        <v>#DIV/0!</v>
      </c>
      <c r="C28" s="1" t="e">
        <f>Data!I33</f>
        <v>#DIV/0!</v>
      </c>
    </row>
    <row r="29" spans="1:7">
      <c r="A29" s="15">
        <f>Data!A34</f>
        <v>0</v>
      </c>
      <c r="B29" s="1" t="e">
        <f>Data!H34</f>
        <v>#DIV/0!</v>
      </c>
      <c r="C29" s="1" t="e">
        <f>Data!I34</f>
        <v>#DIV/0!</v>
      </c>
    </row>
    <row r="30" spans="1:7">
      <c r="A30" s="15">
        <f>Data!A35</f>
        <v>0</v>
      </c>
      <c r="B30" s="1" t="e">
        <f>Data!H35</f>
        <v>#DIV/0!</v>
      </c>
      <c r="C30" s="1" t="e">
        <f>Data!I35</f>
        <v>#DIV/0!</v>
      </c>
    </row>
    <row r="31" spans="1:7">
      <c r="A31" s="15">
        <f>Data!A36</f>
        <v>0</v>
      </c>
      <c r="B31" s="1" t="e">
        <f>Data!H36</f>
        <v>#DIV/0!</v>
      </c>
      <c r="C31" s="1" t="e">
        <f>Data!I36</f>
        <v>#DIV/0!</v>
      </c>
    </row>
    <row r="32" spans="1:7">
      <c r="A32" s="15">
        <f>Data!A37</f>
        <v>0</v>
      </c>
      <c r="B32" s="1" t="e">
        <f>Data!H37</f>
        <v>#DIV/0!</v>
      </c>
      <c r="C32" s="1" t="e">
        <f>Data!I37</f>
        <v>#DIV/0!</v>
      </c>
    </row>
    <row r="33" spans="1:3">
      <c r="A33" s="15">
        <f>Data!A38</f>
        <v>0</v>
      </c>
      <c r="B33" s="1" t="e">
        <f>Data!H38</f>
        <v>#DIV/0!</v>
      </c>
      <c r="C33" s="1" t="e">
        <f>Data!I38</f>
        <v>#DIV/0!</v>
      </c>
    </row>
    <row r="34" spans="1:3">
      <c r="A34" s="15">
        <f>Data!A39</f>
        <v>0</v>
      </c>
      <c r="B34" s="1" t="e">
        <f>Data!H39</f>
        <v>#DIV/0!</v>
      </c>
      <c r="C34" s="1" t="e">
        <f>Data!I39</f>
        <v>#DIV/0!</v>
      </c>
    </row>
    <row r="35" spans="1:3">
      <c r="A35" s="15">
        <f>Data!A40</f>
        <v>0</v>
      </c>
      <c r="B35" s="1" t="e">
        <f>Data!H40</f>
        <v>#DIV/0!</v>
      </c>
      <c r="C35" s="1" t="e">
        <f>Data!I40</f>
        <v>#DIV/0!</v>
      </c>
    </row>
    <row r="36" spans="1:3">
      <c r="A36" s="15">
        <f>Data!A41</f>
        <v>0</v>
      </c>
      <c r="B36" s="1" t="e">
        <f>Data!H41</f>
        <v>#DIV/0!</v>
      </c>
      <c r="C36" s="1" t="e">
        <f>Data!I41</f>
        <v>#DIV/0!</v>
      </c>
    </row>
    <row r="37" spans="1:3">
      <c r="A37" s="15">
        <f>Data!A42</f>
        <v>0</v>
      </c>
      <c r="B37" s="1" t="e">
        <f>Data!H42</f>
        <v>#DIV/0!</v>
      </c>
      <c r="C37" s="1" t="e">
        <f>Data!I42</f>
        <v>#DIV/0!</v>
      </c>
    </row>
    <row r="38" spans="1:3">
      <c r="A38" s="15">
        <f>Data!A43</f>
        <v>0</v>
      </c>
      <c r="B38" s="1" t="e">
        <f>Data!H43</f>
        <v>#DIV/0!</v>
      </c>
      <c r="C38" s="1" t="e">
        <f>Data!I43</f>
        <v>#DIV/0!</v>
      </c>
    </row>
    <row r="39" spans="1:3">
      <c r="A39" s="15">
        <f>Data!A44</f>
        <v>0</v>
      </c>
      <c r="B39" s="1" t="e">
        <f>Data!H44</f>
        <v>#DIV/0!</v>
      </c>
      <c r="C39" s="1" t="e">
        <f>Data!I44</f>
        <v>#DIV/0!</v>
      </c>
    </row>
    <row r="40" spans="1:3">
      <c r="A40" s="15">
        <f>Data!A45</f>
        <v>0</v>
      </c>
      <c r="B40" s="1" t="e">
        <f>Data!H45</f>
        <v>#DIV/0!</v>
      </c>
      <c r="C40" s="1" t="e">
        <f>Data!I45</f>
        <v>#DIV/0!</v>
      </c>
    </row>
    <row r="41" spans="1:3">
      <c r="A41" s="15">
        <f>Data!A46</f>
        <v>0</v>
      </c>
      <c r="B41" s="1" t="e">
        <f>Data!H46</f>
        <v>#DIV/0!</v>
      </c>
      <c r="C41" s="1" t="e">
        <f>Data!I46</f>
        <v>#DIV/0!</v>
      </c>
    </row>
    <row r="42" spans="1:3">
      <c r="A42" s="15">
        <f>Data!A47</f>
        <v>0</v>
      </c>
      <c r="B42" s="1" t="e">
        <f>Data!H47</f>
        <v>#DIV/0!</v>
      </c>
      <c r="C42" s="1" t="e">
        <f>Data!I47</f>
        <v>#DIV/0!</v>
      </c>
    </row>
    <row r="43" spans="1:3">
      <c r="A43" s="15">
        <f>Data!A48</f>
        <v>0</v>
      </c>
      <c r="B43" s="1" t="e">
        <f>Data!H48</f>
        <v>#DIV/0!</v>
      </c>
      <c r="C43" s="1" t="e">
        <f>Data!I48</f>
        <v>#DIV/0!</v>
      </c>
    </row>
    <row r="44" spans="1:3">
      <c r="A44" s="15">
        <f>Data!A49</f>
        <v>0</v>
      </c>
      <c r="B44" s="1" t="e">
        <f>Data!H49</f>
        <v>#DIV/0!</v>
      </c>
      <c r="C44" s="1" t="e">
        <f>Data!I49</f>
        <v>#DIV/0!</v>
      </c>
    </row>
    <row r="45" spans="1:3">
      <c r="A45" s="15">
        <f>Data!A50</f>
        <v>0</v>
      </c>
      <c r="B45" s="1" t="e">
        <f>Data!H50</f>
        <v>#DIV/0!</v>
      </c>
      <c r="C45" s="1" t="e">
        <f>Data!I50</f>
        <v>#DIV/0!</v>
      </c>
    </row>
    <row r="46" spans="1:3">
      <c r="A46" s="15">
        <f>Data!A51</f>
        <v>0</v>
      </c>
      <c r="B46" s="1" t="e">
        <f>Data!H51</f>
        <v>#DIV/0!</v>
      </c>
      <c r="C46" s="1" t="e">
        <f>Data!I51</f>
        <v>#DIV/0!</v>
      </c>
    </row>
    <row r="47" spans="1:3">
      <c r="A47" s="15">
        <f>Data!A52</f>
        <v>0</v>
      </c>
      <c r="B47" s="1" t="e">
        <f>Data!H52</f>
        <v>#DIV/0!</v>
      </c>
      <c r="C47" s="1" t="e">
        <f>Data!I52</f>
        <v>#DIV/0!</v>
      </c>
    </row>
    <row r="48" spans="1:3">
      <c r="A48" s="15">
        <f>Data!A53</f>
        <v>0</v>
      </c>
      <c r="B48" s="1" t="e">
        <f>Data!H53</f>
        <v>#DIV/0!</v>
      </c>
      <c r="C48" s="1" t="e">
        <f>Data!I53</f>
        <v>#DIV/0!</v>
      </c>
    </row>
    <row r="49" spans="1:3">
      <c r="A49" s="15">
        <f>Data!A54</f>
        <v>0</v>
      </c>
      <c r="B49" s="1" t="e">
        <f>Data!H54</f>
        <v>#DIV/0!</v>
      </c>
      <c r="C49" s="1" t="e">
        <f>Data!I54</f>
        <v>#DIV/0!</v>
      </c>
    </row>
    <row r="50" spans="1:3">
      <c r="A50" s="15">
        <f>Data!A55</f>
        <v>0</v>
      </c>
      <c r="B50" s="1" t="e">
        <f>Data!H55</f>
        <v>#DIV/0!</v>
      </c>
      <c r="C50" s="1" t="e">
        <f>Data!I55</f>
        <v>#DIV/0!</v>
      </c>
    </row>
    <row r="51" spans="1:3">
      <c r="A51" s="15">
        <f>Data!A56</f>
        <v>0</v>
      </c>
      <c r="B51" s="1" t="e">
        <f>Data!H56</f>
        <v>#DIV/0!</v>
      </c>
      <c r="C51" s="1" t="e">
        <f>Data!I56</f>
        <v>#DIV/0!</v>
      </c>
    </row>
    <row r="52" spans="1:3">
      <c r="A52" s="15">
        <f>Data!A57</f>
        <v>0</v>
      </c>
      <c r="B52" s="1" t="e">
        <f>Data!H57</f>
        <v>#DIV/0!</v>
      </c>
      <c r="C52" s="1" t="e">
        <f>Data!I57</f>
        <v>#DIV/0!</v>
      </c>
    </row>
    <row r="53" spans="1:3">
      <c r="A53" s="15">
        <f>Data!A58</f>
        <v>0</v>
      </c>
      <c r="B53" s="1" t="e">
        <f>Data!H58</f>
        <v>#DIV/0!</v>
      </c>
      <c r="C53" s="1" t="e">
        <f>Data!I58</f>
        <v>#DIV/0!</v>
      </c>
    </row>
    <row r="54" spans="1:3">
      <c r="A54" s="15">
        <f>Data!A59</f>
        <v>0</v>
      </c>
      <c r="B54" s="1" t="e">
        <f>Data!H59</f>
        <v>#DIV/0!</v>
      </c>
      <c r="C54" s="1" t="e">
        <f>Data!I59</f>
        <v>#DIV/0!</v>
      </c>
    </row>
    <row r="55" spans="1:3">
      <c r="A55" s="15">
        <f>Data!A60</f>
        <v>0</v>
      </c>
      <c r="B55" s="1" t="e">
        <f>Data!H60</f>
        <v>#DIV/0!</v>
      </c>
      <c r="C55" s="1" t="e">
        <f>Data!I60</f>
        <v>#DIV/0!</v>
      </c>
    </row>
    <row r="56" spans="1:3">
      <c r="A56" s="15">
        <f>Data!A61</f>
        <v>0</v>
      </c>
      <c r="B56" s="1" t="e">
        <f>Data!H61</f>
        <v>#DIV/0!</v>
      </c>
      <c r="C56" s="1" t="e">
        <f>Data!I61</f>
        <v>#DIV/0!</v>
      </c>
    </row>
    <row r="57" spans="1:3">
      <c r="A57" s="15">
        <f>Data!A62</f>
        <v>0</v>
      </c>
      <c r="B57" s="1" t="e">
        <f>Data!H62</f>
        <v>#DIV/0!</v>
      </c>
      <c r="C57" s="1" t="e">
        <f>Data!I62</f>
        <v>#DIV/0!</v>
      </c>
    </row>
    <row r="58" spans="1:3">
      <c r="A58" s="15">
        <f>Data!A63</f>
        <v>0</v>
      </c>
      <c r="B58" s="1" t="e">
        <f>Data!H63</f>
        <v>#DIV/0!</v>
      </c>
      <c r="C58" s="1" t="e">
        <f>Data!I63</f>
        <v>#DIV/0!</v>
      </c>
    </row>
    <row r="59" spans="1:3">
      <c r="A59" s="15">
        <f>Data!A64</f>
        <v>0</v>
      </c>
      <c r="B59" s="1" t="e">
        <f>Data!H64</f>
        <v>#DIV/0!</v>
      </c>
      <c r="C59" s="1" t="e">
        <f>Data!I64</f>
        <v>#DIV/0!</v>
      </c>
    </row>
    <row r="60" spans="1:3">
      <c r="A60" s="15">
        <f>Data!A65</f>
        <v>0</v>
      </c>
      <c r="B60" s="1" t="e">
        <f>Data!H65</f>
        <v>#DIV/0!</v>
      </c>
      <c r="C60" s="1" t="e">
        <f>Data!I65</f>
        <v>#DIV/0!</v>
      </c>
    </row>
    <row r="61" spans="1:3">
      <c r="A61" s="15">
        <f>Data!A66</f>
        <v>0</v>
      </c>
      <c r="B61" s="1" t="e">
        <f>Data!H66</f>
        <v>#DIV/0!</v>
      </c>
      <c r="C61" s="1" t="e">
        <f>Data!I66</f>
        <v>#DIV/0!</v>
      </c>
    </row>
    <row r="62" spans="1:3">
      <c r="A62" s="15">
        <f>Data!A67</f>
        <v>0</v>
      </c>
      <c r="B62" s="1" t="e">
        <f>Data!H67</f>
        <v>#DIV/0!</v>
      </c>
      <c r="C62" s="1" t="e">
        <f>Data!I67</f>
        <v>#DIV/0!</v>
      </c>
    </row>
    <row r="63" spans="1:3">
      <c r="A63" s="15">
        <f>Data!A68</f>
        <v>0</v>
      </c>
      <c r="B63" s="1" t="e">
        <f>Data!H68</f>
        <v>#DIV/0!</v>
      </c>
      <c r="C63" s="1" t="e">
        <f>Data!I68</f>
        <v>#DIV/0!</v>
      </c>
    </row>
    <row r="64" spans="1:3">
      <c r="A64" s="15">
        <f>Data!A69</f>
        <v>0</v>
      </c>
      <c r="B64" s="1" t="e">
        <f>Data!H69</f>
        <v>#DIV/0!</v>
      </c>
      <c r="C64" s="1" t="e">
        <f>Data!I69</f>
        <v>#DIV/0!</v>
      </c>
    </row>
    <row r="65" spans="1:3">
      <c r="A65" s="15">
        <f>Data!A70</f>
        <v>0</v>
      </c>
      <c r="B65" s="1" t="e">
        <f>Data!H70</f>
        <v>#DIV/0!</v>
      </c>
      <c r="C65" s="1" t="e">
        <f>Data!I70</f>
        <v>#DIV/0!</v>
      </c>
    </row>
    <row r="66" spans="1:3">
      <c r="A66" s="15">
        <f>Data!A71</f>
        <v>0</v>
      </c>
      <c r="B66" s="1" t="e">
        <f>Data!H71</f>
        <v>#DIV/0!</v>
      </c>
      <c r="C66" s="1" t="e">
        <f>Data!I71</f>
        <v>#DIV/0!</v>
      </c>
    </row>
    <row r="67" spans="1:3">
      <c r="A67" s="15">
        <f>Data!A72</f>
        <v>0</v>
      </c>
      <c r="B67" s="1" t="e">
        <f>Data!H72</f>
        <v>#DIV/0!</v>
      </c>
      <c r="C67" s="1" t="e">
        <f>Data!I72</f>
        <v>#DIV/0!</v>
      </c>
    </row>
    <row r="68" spans="1:3">
      <c r="A68" s="15">
        <f>Data!A73</f>
        <v>0</v>
      </c>
      <c r="B68" s="1" t="e">
        <f>Data!H73</f>
        <v>#DIV/0!</v>
      </c>
      <c r="C68" s="1" t="e">
        <f>Data!I73</f>
        <v>#DIV/0!</v>
      </c>
    </row>
    <row r="69" spans="1:3">
      <c r="A69" s="15">
        <f>Data!A74</f>
        <v>0</v>
      </c>
      <c r="B69" s="1" t="e">
        <f>Data!H74</f>
        <v>#DIV/0!</v>
      </c>
      <c r="C69" s="1" t="e">
        <f>Data!I74</f>
        <v>#DIV/0!</v>
      </c>
    </row>
    <row r="70" spans="1:3">
      <c r="A70" s="15">
        <f>Data!A75</f>
        <v>0</v>
      </c>
      <c r="B70" s="1" t="e">
        <f>Data!H75</f>
        <v>#DIV/0!</v>
      </c>
      <c r="C70" s="1" t="e">
        <f>Data!I75</f>
        <v>#DIV/0!</v>
      </c>
    </row>
    <row r="71" spans="1:3">
      <c r="A71" s="15">
        <f>Data!A76</f>
        <v>0</v>
      </c>
      <c r="B71" s="1" t="e">
        <f>Data!H76</f>
        <v>#DIV/0!</v>
      </c>
      <c r="C71" s="1" t="e">
        <f>Data!I76</f>
        <v>#DIV/0!</v>
      </c>
    </row>
    <row r="72" spans="1:3">
      <c r="A72" s="15">
        <f>Data!A77</f>
        <v>0</v>
      </c>
      <c r="B72" s="1" t="e">
        <f>Data!H77</f>
        <v>#DIV/0!</v>
      </c>
      <c r="C72" s="1" t="e">
        <f>Data!I77</f>
        <v>#DIV/0!</v>
      </c>
    </row>
    <row r="73" spans="1:3">
      <c r="A73" s="15">
        <f>Data!A78</f>
        <v>0</v>
      </c>
      <c r="B73" s="1" t="e">
        <f>Data!H78</f>
        <v>#DIV/0!</v>
      </c>
      <c r="C73" s="1" t="e">
        <f>Data!I78</f>
        <v>#DIV/0!</v>
      </c>
    </row>
    <row r="74" spans="1:3">
      <c r="A74" s="15">
        <f>Data!A79</f>
        <v>0</v>
      </c>
      <c r="B74" s="1" t="e">
        <f>Data!H79</f>
        <v>#DIV/0!</v>
      </c>
      <c r="C74" s="1" t="e">
        <f>Data!I79</f>
        <v>#DIV/0!</v>
      </c>
    </row>
    <row r="75" spans="1:3">
      <c r="A75" s="15">
        <f>Data!A80</f>
        <v>0</v>
      </c>
      <c r="B75" s="1" t="e">
        <f>Data!H80</f>
        <v>#DIV/0!</v>
      </c>
      <c r="C75" s="1" t="e">
        <f>Data!I80</f>
        <v>#DIV/0!</v>
      </c>
    </row>
    <row r="76" spans="1:3">
      <c r="A76" s="15">
        <f>Data!A81</f>
        <v>0</v>
      </c>
      <c r="B76" s="1" t="e">
        <f>Data!H81</f>
        <v>#DIV/0!</v>
      </c>
      <c r="C76" s="1" t="e">
        <f>Data!I81</f>
        <v>#DIV/0!</v>
      </c>
    </row>
    <row r="77" spans="1:3">
      <c r="A77" s="15">
        <f>Data!A82</f>
        <v>0</v>
      </c>
      <c r="B77" s="1" t="e">
        <f>Data!H82</f>
        <v>#DIV/0!</v>
      </c>
      <c r="C77" s="1" t="e">
        <f>Data!I82</f>
        <v>#DIV/0!</v>
      </c>
    </row>
    <row r="78" spans="1:3">
      <c r="A78" s="15">
        <f>Data!A83</f>
        <v>0</v>
      </c>
      <c r="B78" s="1" t="e">
        <f>Data!H83</f>
        <v>#DIV/0!</v>
      </c>
      <c r="C78" s="1" t="e">
        <f>Data!I83</f>
        <v>#DIV/0!</v>
      </c>
    </row>
    <row r="79" spans="1:3">
      <c r="A79" s="15">
        <f>Data!A84</f>
        <v>0</v>
      </c>
      <c r="B79" s="1" t="e">
        <f>Data!H84</f>
        <v>#DIV/0!</v>
      </c>
      <c r="C79" s="1" t="e">
        <f>Data!I84</f>
        <v>#DIV/0!</v>
      </c>
    </row>
    <row r="80" spans="1:3">
      <c r="A80" s="15">
        <f>Data!A85</f>
        <v>0</v>
      </c>
      <c r="B80" s="1" t="e">
        <f>Data!H85</f>
        <v>#DIV/0!</v>
      </c>
      <c r="C80" s="1" t="e">
        <f>Data!I85</f>
        <v>#DIV/0!</v>
      </c>
    </row>
    <row r="81" spans="1:3">
      <c r="A81" s="15">
        <f>Data!A86</f>
        <v>0</v>
      </c>
      <c r="B81" s="1" t="e">
        <f>Data!H86</f>
        <v>#DIV/0!</v>
      </c>
      <c r="C81" s="1" t="e">
        <f>Data!I86</f>
        <v>#DIV/0!</v>
      </c>
    </row>
    <row r="82" spans="1:3">
      <c r="A82" s="15">
        <f>Data!A87</f>
        <v>0</v>
      </c>
      <c r="B82" s="1" t="e">
        <f>Data!H87</f>
        <v>#DIV/0!</v>
      </c>
      <c r="C82" s="1" t="e">
        <f>Data!I87</f>
        <v>#DIV/0!</v>
      </c>
    </row>
    <row r="83" spans="1:3">
      <c r="A83" s="15">
        <f>Data!A88</f>
        <v>0</v>
      </c>
      <c r="B83" s="1" t="e">
        <f>Data!H88</f>
        <v>#DIV/0!</v>
      </c>
      <c r="C83" s="1" t="e">
        <f>Data!I88</f>
        <v>#DIV/0!</v>
      </c>
    </row>
    <row r="84" spans="1:3">
      <c r="A84" s="15">
        <f>Data!A89</f>
        <v>0</v>
      </c>
      <c r="B84" s="1" t="e">
        <f>Data!H89</f>
        <v>#DIV/0!</v>
      </c>
      <c r="C84" s="1" t="e">
        <f>Data!I89</f>
        <v>#DIV/0!</v>
      </c>
    </row>
    <row r="85" spans="1:3">
      <c r="A85" s="15">
        <f>Data!A90</f>
        <v>0</v>
      </c>
      <c r="B85" s="1" t="e">
        <f>Data!H90</f>
        <v>#DIV/0!</v>
      </c>
      <c r="C85" s="1" t="e">
        <f>Data!I90</f>
        <v>#DIV/0!</v>
      </c>
    </row>
    <row r="86" spans="1:3">
      <c r="A86" s="15">
        <f>Data!A91</f>
        <v>0</v>
      </c>
      <c r="B86" s="1" t="e">
        <f>Data!H91</f>
        <v>#DIV/0!</v>
      </c>
      <c r="C86" s="1" t="e">
        <f>Data!I91</f>
        <v>#DIV/0!</v>
      </c>
    </row>
    <row r="87" spans="1:3">
      <c r="A87" s="15">
        <f>Data!A92</f>
        <v>0</v>
      </c>
      <c r="B87" s="1" t="e">
        <f>Data!H92</f>
        <v>#DIV/0!</v>
      </c>
      <c r="C87" s="1" t="e">
        <f>Data!I92</f>
        <v>#DIV/0!</v>
      </c>
    </row>
    <row r="88" spans="1:3">
      <c r="A88" s="15">
        <f>Data!A93</f>
        <v>0</v>
      </c>
      <c r="B88" s="1" t="e">
        <f>Data!H93</f>
        <v>#DIV/0!</v>
      </c>
      <c r="C88" s="1" t="e">
        <f>Data!I93</f>
        <v>#DIV/0!</v>
      </c>
    </row>
    <row r="89" spans="1:3">
      <c r="A89" s="15" t="e">
        <f>Data!#REF!</f>
        <v>#REF!</v>
      </c>
      <c r="B89" s="1" t="e">
        <f>Data!H94</f>
        <v>#DIV/0!</v>
      </c>
      <c r="C89" s="1" t="e">
        <f>Data!I94</f>
        <v>#DIV/0!</v>
      </c>
    </row>
    <row r="90" spans="1:3">
      <c r="A90" s="15">
        <f>Data!A94</f>
        <v>0</v>
      </c>
      <c r="B90" s="1" t="e">
        <f>Data!H95</f>
        <v>#DIV/0!</v>
      </c>
      <c r="C90" s="1" t="e">
        <f>Data!I95</f>
        <v>#DIV/0!</v>
      </c>
    </row>
    <row r="91" spans="1:3">
      <c r="A91" s="15">
        <f>Data!A95</f>
        <v>0</v>
      </c>
      <c r="B91" s="1" t="e">
        <f>Data!H96</f>
        <v>#DIV/0!</v>
      </c>
      <c r="C91" s="1" t="e">
        <f>Data!I96</f>
        <v>#DIV/0!</v>
      </c>
    </row>
    <row r="92" spans="1:3">
      <c r="A92" s="15">
        <f>Data!A96</f>
        <v>0</v>
      </c>
      <c r="B92" s="1" t="e">
        <f>Data!H97</f>
        <v>#DIV/0!</v>
      </c>
      <c r="C92" s="1" t="e">
        <f>Data!I97</f>
        <v>#DIV/0!</v>
      </c>
    </row>
    <row r="93" spans="1:3">
      <c r="A93" s="15">
        <f>Data!A97</f>
        <v>0</v>
      </c>
      <c r="B93" s="1" t="e">
        <f>Data!H98</f>
        <v>#DIV/0!</v>
      </c>
      <c r="C93" s="1" t="e">
        <f>Data!I98</f>
        <v>#DIV/0!</v>
      </c>
    </row>
    <row r="94" spans="1:3">
      <c r="A94" s="15">
        <f>Data!A98</f>
        <v>0</v>
      </c>
      <c r="B94" s="1" t="e">
        <f>Data!H99</f>
        <v>#DIV/0!</v>
      </c>
      <c r="C94" s="1" t="e">
        <f>Data!I99</f>
        <v>#DIV/0!</v>
      </c>
    </row>
    <row r="95" spans="1:3">
      <c r="A95" s="15">
        <f>Data!A99</f>
        <v>0</v>
      </c>
      <c r="B95" s="1" t="e">
        <f>Data!H100</f>
        <v>#DIV/0!</v>
      </c>
      <c r="C95" s="1" t="e">
        <f>Data!I100</f>
        <v>#DIV/0!</v>
      </c>
    </row>
    <row r="96" spans="1:3">
      <c r="A96" s="15">
        <f>Data!A100</f>
        <v>0</v>
      </c>
      <c r="B96" s="1" t="e">
        <f>Data!H101</f>
        <v>#DIV/0!</v>
      </c>
      <c r="C96" s="1" t="e">
        <f>Data!I101</f>
        <v>#DIV/0!</v>
      </c>
    </row>
    <row r="97" spans="1:3">
      <c r="A97" s="15">
        <f>Data!A101</f>
        <v>0</v>
      </c>
      <c r="B97" s="1" t="e">
        <f>Data!H102</f>
        <v>#DIV/0!</v>
      </c>
      <c r="C97" s="1" t="e">
        <f>Data!I102</f>
        <v>#DIV/0!</v>
      </c>
    </row>
    <row r="98" spans="1:3">
      <c r="A98" s="15">
        <f>Data!A102</f>
        <v>0</v>
      </c>
      <c r="B98" s="1" t="e">
        <f>Data!H103</f>
        <v>#DIV/0!</v>
      </c>
      <c r="C98" s="1" t="e">
        <f>Data!I103</f>
        <v>#DIV/0!</v>
      </c>
    </row>
    <row r="99" spans="1:3">
      <c r="A99" s="15">
        <f>Data!A103</f>
        <v>0</v>
      </c>
      <c r="B99" s="1" t="e">
        <f>Data!H104</f>
        <v>#DIV/0!</v>
      </c>
      <c r="C99" s="1" t="e">
        <f>Data!I104</f>
        <v>#DIV/0!</v>
      </c>
    </row>
    <row r="100" spans="1:3">
      <c r="A100" s="15">
        <f>Data!A104</f>
        <v>0</v>
      </c>
      <c r="B100" s="1" t="e">
        <f>Data!H105</f>
        <v>#DIV/0!</v>
      </c>
      <c r="C100" s="1" t="e">
        <f>Data!I105</f>
        <v>#DIV/0!</v>
      </c>
    </row>
    <row r="101" spans="1:3">
      <c r="A101" s="15">
        <f>Data!A105</f>
        <v>0</v>
      </c>
      <c r="B101" s="1" t="e">
        <f>Data!H106</f>
        <v>#DIV/0!</v>
      </c>
      <c r="C101" s="1" t="e">
        <f>Data!I106</f>
        <v>#DIV/0!</v>
      </c>
    </row>
    <row r="102" spans="1:3">
      <c r="A102" s="15">
        <f>Data!A106</f>
        <v>0</v>
      </c>
      <c r="B102" s="1" t="e">
        <f>Data!H107</f>
        <v>#DIV/0!</v>
      </c>
      <c r="C102" s="1" t="e">
        <f>Data!I107</f>
        <v>#DIV/0!</v>
      </c>
    </row>
    <row r="103" spans="1:3">
      <c r="A103" s="15">
        <f>Data!A107</f>
        <v>0</v>
      </c>
      <c r="B103" s="1" t="e">
        <f>Data!H108</f>
        <v>#DIV/0!</v>
      </c>
      <c r="C103" s="1" t="e">
        <f>Data!I108</f>
        <v>#DIV/0!</v>
      </c>
    </row>
    <row r="104" spans="1:3">
      <c r="A104" s="15">
        <f>Data!A108</f>
        <v>0</v>
      </c>
      <c r="B104" s="1" t="e">
        <f>Data!H109</f>
        <v>#DIV/0!</v>
      </c>
      <c r="C104" s="1" t="e">
        <f>Data!I109</f>
        <v>#DIV/0!</v>
      </c>
    </row>
    <row r="105" spans="1:3">
      <c r="A105" s="15">
        <f>Data!A109</f>
        <v>0</v>
      </c>
      <c r="B105" s="1" t="e">
        <f>Data!H110</f>
        <v>#DIV/0!</v>
      </c>
      <c r="C105" s="1" t="e">
        <f>Data!I110</f>
        <v>#DIV/0!</v>
      </c>
    </row>
    <row r="106" spans="1:3">
      <c r="A106" s="15">
        <f>Data!A110</f>
        <v>0</v>
      </c>
      <c r="B106" s="1" t="e">
        <f>Data!H111</f>
        <v>#DIV/0!</v>
      </c>
      <c r="C106" s="1" t="e">
        <f>Data!I111</f>
        <v>#DIV/0!</v>
      </c>
    </row>
    <row r="107" spans="1:3">
      <c r="A107" s="15">
        <f>Data!A111</f>
        <v>0</v>
      </c>
      <c r="B107" s="1" t="e">
        <f>Data!H112</f>
        <v>#DIV/0!</v>
      </c>
      <c r="C107" s="1" t="e">
        <f>Data!I112</f>
        <v>#DIV/0!</v>
      </c>
    </row>
    <row r="108" spans="1:3">
      <c r="A108" s="15">
        <f>Data!A112</f>
        <v>0</v>
      </c>
      <c r="B108" s="1" t="e">
        <f>Data!H113</f>
        <v>#DIV/0!</v>
      </c>
      <c r="C108" s="1" t="e">
        <f>Data!I113</f>
        <v>#DIV/0!</v>
      </c>
    </row>
    <row r="109" spans="1:3">
      <c r="A109" s="15">
        <f>Data!A113</f>
        <v>0</v>
      </c>
      <c r="B109" s="1" t="e">
        <f>Data!H114</f>
        <v>#DIV/0!</v>
      </c>
      <c r="C109" s="1" t="e">
        <f>Data!I114</f>
        <v>#DIV/0!</v>
      </c>
    </row>
    <row r="110" spans="1:3">
      <c r="A110" s="15">
        <f>Data!A114</f>
        <v>0</v>
      </c>
      <c r="B110" s="1" t="e">
        <f>Data!H115</f>
        <v>#DIV/0!</v>
      </c>
      <c r="C110" s="1" t="e">
        <f>Data!I115</f>
        <v>#DIV/0!</v>
      </c>
    </row>
    <row r="111" spans="1:3">
      <c r="A111" s="15">
        <f>Data!A115</f>
        <v>0</v>
      </c>
      <c r="B111" s="1" t="e">
        <f>Data!H116</f>
        <v>#DIV/0!</v>
      </c>
      <c r="C111" s="1" t="e">
        <f>Data!I116</f>
        <v>#DIV/0!</v>
      </c>
    </row>
    <row r="112" spans="1:3">
      <c r="A112" s="15">
        <f>Data!A116</f>
        <v>0</v>
      </c>
      <c r="B112" s="1" t="e">
        <f>Data!H117</f>
        <v>#DIV/0!</v>
      </c>
      <c r="C112" s="1" t="e">
        <f>Data!I117</f>
        <v>#DIV/0!</v>
      </c>
    </row>
    <row r="113" spans="1:3">
      <c r="A113" s="15">
        <f>Data!A117</f>
        <v>0</v>
      </c>
      <c r="B113" s="1" t="e">
        <f>Data!H118</f>
        <v>#DIV/0!</v>
      </c>
      <c r="C113" s="1" t="e">
        <f>Data!I118</f>
        <v>#DIV/0!</v>
      </c>
    </row>
    <row r="114" spans="1:3">
      <c r="A114" s="15">
        <f>Data!A118</f>
        <v>0</v>
      </c>
      <c r="B114" s="1" t="e">
        <f>Data!H119</f>
        <v>#DIV/0!</v>
      </c>
      <c r="C114" s="1" t="e">
        <f>Data!I119</f>
        <v>#DIV/0!</v>
      </c>
    </row>
    <row r="115" spans="1:3">
      <c r="A115" s="15">
        <f>Data!A119</f>
        <v>0</v>
      </c>
      <c r="B115" s="1" t="e">
        <f>Data!H120</f>
        <v>#DIV/0!</v>
      </c>
      <c r="C115" s="1" t="e">
        <f>Data!I120</f>
        <v>#DIV/0!</v>
      </c>
    </row>
    <row r="116" spans="1:3">
      <c r="A116" s="15">
        <f>Data!A120</f>
        <v>0</v>
      </c>
      <c r="B116" s="1" t="e">
        <f>Data!H121</f>
        <v>#DIV/0!</v>
      </c>
      <c r="C116" s="1" t="e">
        <f>Data!I121</f>
        <v>#DIV/0!</v>
      </c>
    </row>
    <row r="117" spans="1:3">
      <c r="A117" s="15">
        <f>Data!A121</f>
        <v>0</v>
      </c>
      <c r="B117" s="1" t="e">
        <f>Data!H122</f>
        <v>#DIV/0!</v>
      </c>
      <c r="C117" s="1" t="e">
        <f>Data!I122</f>
        <v>#DIV/0!</v>
      </c>
    </row>
    <row r="118" spans="1:3">
      <c r="A118" s="15">
        <f>Data!A122</f>
        <v>0</v>
      </c>
      <c r="B118" s="1" t="e">
        <f>Data!H123</f>
        <v>#DIV/0!</v>
      </c>
      <c r="C118" s="1" t="e">
        <f>Data!I123</f>
        <v>#DIV/0!</v>
      </c>
    </row>
    <row r="119" spans="1:3">
      <c r="A119" s="15">
        <f>Data!A123</f>
        <v>0</v>
      </c>
      <c r="B119" s="1" t="e">
        <f>Data!H124</f>
        <v>#DIV/0!</v>
      </c>
      <c r="C119" s="1" t="e">
        <f>Data!I124</f>
        <v>#DIV/0!</v>
      </c>
    </row>
    <row r="120" spans="1:3">
      <c r="A120" s="15">
        <f>Data!A124</f>
        <v>0</v>
      </c>
      <c r="B120" s="1" t="e">
        <f>Data!H125</f>
        <v>#DIV/0!</v>
      </c>
      <c r="C120" s="1" t="e">
        <f>Data!I125</f>
        <v>#DIV/0!</v>
      </c>
    </row>
    <row r="121" spans="1:3">
      <c r="A121" s="15">
        <f>Data!A125</f>
        <v>0</v>
      </c>
      <c r="B121" s="1" t="e">
        <f>Data!H126</f>
        <v>#DIV/0!</v>
      </c>
      <c r="C121" s="1" t="e">
        <f>Data!I126</f>
        <v>#DIV/0!</v>
      </c>
    </row>
    <row r="122" spans="1:3">
      <c r="A122" s="15">
        <f>Data!A126</f>
        <v>0</v>
      </c>
      <c r="B122" s="1" t="e">
        <f>Data!H127</f>
        <v>#DIV/0!</v>
      </c>
      <c r="C122" s="1" t="e">
        <f>Data!I127</f>
        <v>#DIV/0!</v>
      </c>
    </row>
    <row r="123" spans="1:3">
      <c r="A123" s="15">
        <f>Data!A127</f>
        <v>0</v>
      </c>
      <c r="B123" s="1" t="e">
        <f>Data!H128</f>
        <v>#DIV/0!</v>
      </c>
      <c r="C123" s="1" t="e">
        <f>Data!I128</f>
        <v>#DIV/0!</v>
      </c>
    </row>
    <row r="124" spans="1:3">
      <c r="A124" s="15">
        <f>Data!A128</f>
        <v>0</v>
      </c>
      <c r="B124" s="1" t="e">
        <f>Data!H129</f>
        <v>#DIV/0!</v>
      </c>
      <c r="C124" s="1" t="e">
        <f>Data!I129</f>
        <v>#DIV/0!</v>
      </c>
    </row>
    <row r="125" spans="1:3">
      <c r="A125" s="15">
        <f>Data!A129</f>
        <v>0</v>
      </c>
      <c r="B125" s="1" t="e">
        <f>Data!H130</f>
        <v>#DIV/0!</v>
      </c>
      <c r="C125" s="1" t="e">
        <f>Data!I130</f>
        <v>#DIV/0!</v>
      </c>
    </row>
    <row r="126" spans="1:3">
      <c r="A126" s="15"/>
    </row>
    <row r="127" spans="1:3">
      <c r="A127" s="15"/>
    </row>
    <row r="128" spans="1:3">
      <c r="A128" s="15"/>
    </row>
    <row r="129" spans="1:1">
      <c r="A129" s="15"/>
    </row>
    <row r="130" spans="1:1">
      <c r="A130" s="15"/>
    </row>
    <row r="131" spans="1:1">
      <c r="A131" s="15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2"/>
  <sheetViews>
    <sheetView workbookViewId="0">
      <selection sqref="A1:A2"/>
    </sheetView>
  </sheetViews>
  <sheetFormatPr defaultColWidth="8.85546875" defaultRowHeight="15"/>
  <sheetData>
    <row r="1" spans="1:1">
      <c r="A1" t="s">
        <v>106</v>
      </c>
    </row>
    <row r="2" spans="1:1">
      <c r="A2" t="s">
        <v>107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University at Buffalo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</dc:creator>
  <cp:keywords/>
  <dc:description/>
  <cp:lastModifiedBy/>
  <cp:revision/>
  <dcterms:created xsi:type="dcterms:W3CDTF">2015-05-20T13:49:55Z</dcterms:created>
  <dcterms:modified xsi:type="dcterms:W3CDTF">2022-05-29T18:51:49Z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af85ac58-5e95-44fa-87f0-dad5d6689df9</vt:lpwstr>
  </property>
</Properties>
</file>