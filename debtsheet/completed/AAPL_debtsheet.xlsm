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date1904="1" codeName="ThisWorkbook"/>
  <bookViews>
    <workbookView visibility="visible" minimized="0" showHorizontalScroll="1" showVerticalScroll="1" showSheetTabs="1" xWindow="-120" yWindow="-120" windowWidth="20730" windowHeight="11760" tabRatio="600" firstSheet="1" activeTab="1" autoFilterDateGrouping="1"/>
  </bookViews>
  <sheets>
    <sheet xmlns:r="http://schemas.openxmlformats.org/officeDocument/2006/relationships" name="Instructions" sheetId="1" state="visible" r:id="rId1"/>
    <sheet xmlns:r="http://schemas.openxmlformats.org/officeDocument/2006/relationships" name="BNOW" sheetId="2" state="visible" r:id="rId2"/>
    <sheet xmlns:r="http://schemas.openxmlformats.org/officeDocument/2006/relationships" name="Data" sheetId="3" state="visible" r:id="rId3"/>
    <sheet xmlns:r="http://schemas.openxmlformats.org/officeDocument/2006/relationships" name="Filtered Data" sheetId="4" state="hidden" r:id="rId4"/>
    <sheet xmlns:r="http://schemas.openxmlformats.org/officeDocument/2006/relationships" name="10QDropDownList" sheetId="5" state="hidden" r:id="rId5"/>
  </sheets>
  <definedNames>
    <definedName name="BIGNUM">9.99999999999999E+307</definedName>
    <definedName name="List10q10k">'10QDropDownList'!$A$1:$A$2</definedName>
    <definedName name="_xlnm.Print_Area" localSheetId="1">'BNOW'!$A$1:$P$83</definedName>
  </definedNames>
  <calcPr calcId="191028" fullCalcOnLoad="1" iterate="1"/>
</workbook>
</file>

<file path=xl/styles.xml><?xml version="1.0" encoding="utf-8"?>
<styleSheet xmlns="http://schemas.openxmlformats.org/spreadsheetml/2006/main">
  <numFmts count="11">
    <numFmt numFmtId="164" formatCode="_(&quot;$&quot;* #,##0.00_);_(&quot;$&quot;* \(#,##0.00\);_(&quot;$&quot;* &quot;-&quot;??_);_(@_)"/>
    <numFmt numFmtId="165" formatCode="[$-409]d\-mmm\-yy;@"/>
    <numFmt numFmtId="166" formatCode="_(* #,##0_);_(* \(#,##0\);_(* &quot;-&quot;??_);_(@_)"/>
    <numFmt numFmtId="167" formatCode="&quot;$&quot;#,##0.00"/>
    <numFmt numFmtId="168" formatCode="mm/dd/yy;@"/>
    <numFmt numFmtId="169" formatCode="m/d;@"/>
    <numFmt numFmtId="170" formatCode="_(&quot;$&quot;* #,##0_);_(&quot;$&quot;* \(#,##0\);_(&quot;$&quot;* &quot;-&quot;??_);_(@_)"/>
    <numFmt numFmtId="171" formatCode="0.0%"/>
    <numFmt numFmtId="172" formatCode="_(&quot;$&quot;* #,##0.0000_);_(&quot;$&quot;* \(#,##0.0000\);_(&quot;$&quot;* &quot;-&quot;????_);_(@_)"/>
    <numFmt numFmtId="173" formatCode="_(&quot;$&quot;* #,##0.0000_);_(&quot;$&quot;* \(#,##0.0000\);_(&quot;$&quot;* &quot;-&quot;??_);_(@_)"/>
    <numFmt numFmtId="174" formatCode="_(&quot;$&quot;* #,##0_);_(&quot;$&quot;* \(#,##0\);_(&quot;$&quot;* &quot;-&quot;????_);_(@_)"/>
  </numFmts>
  <fonts count="23">
    <font>
      <name val="Calibri"/>
      <family val="2"/>
      <color theme="1"/>
      <sz val="11"/>
      <scheme val="minor"/>
    </font>
    <font>
      <name val="Calibri"/>
      <family val="2"/>
      <color theme="1"/>
      <sz val="11"/>
      <scheme val="minor"/>
    </font>
    <font>
      <name val="Arial"/>
      <family val="2"/>
      <sz val="10"/>
    </font>
    <font>
      <name val="Calibri"/>
      <family val="2"/>
      <b val="1"/>
      <color theme="0"/>
      <sz val="16"/>
      <scheme val="minor"/>
    </font>
    <font>
      <name val="Tahoma"/>
      <family val="2"/>
      <b val="1"/>
      <color indexed="81"/>
      <sz val="9"/>
    </font>
    <font>
      <name val="Century Gothic"/>
      <family val="2"/>
      <color theme="1"/>
      <sz val="12"/>
    </font>
    <font>
      <name val="Century Gothic"/>
      <family val="2"/>
      <b val="1"/>
      <sz val="12"/>
    </font>
    <font>
      <name val="Century Gothic"/>
      <family val="2"/>
      <b val="1"/>
      <color theme="1"/>
      <sz val="12"/>
    </font>
    <font>
      <name val="Century Gothic"/>
      <family val="2"/>
      <color indexed="8"/>
      <sz val="12"/>
    </font>
    <font>
      <name val="Century Gothic"/>
      <family val="2"/>
      <sz val="12"/>
    </font>
    <font>
      <name val="Century Gothic"/>
      <family val="2"/>
      <b val="1"/>
      <color rgb="FF000000"/>
      <sz val="12"/>
    </font>
    <font>
      <name val="Century Gothic"/>
      <family val="2"/>
      <color rgb="FF000000"/>
      <sz val="12"/>
    </font>
    <font>
      <name val="Century Gothic"/>
      <family val="2"/>
      <color rgb="FF212121"/>
      <sz val="12"/>
    </font>
    <font>
      <name val="Century Gothic"/>
      <family val="2"/>
      <b val="1"/>
      <color theme="1"/>
      <sz val="18"/>
    </font>
    <font>
      <name val="Calibri"/>
      <family val="2"/>
      <b val="1"/>
      <color rgb="FFFF0000"/>
      <sz val="11"/>
      <scheme val="minor"/>
    </font>
    <font>
      <name val="Calibri"/>
      <family val="2"/>
      <b val="1"/>
      <color theme="1"/>
      <sz val="11"/>
      <scheme val="minor"/>
    </font>
    <font>
      <name val="Century Gothic"/>
      <family val="2"/>
      <b val="1"/>
      <sz val="20"/>
    </font>
    <font>
      <name val="Calibri"/>
      <family val="2"/>
      <color theme="10"/>
      <sz val="11"/>
      <u val="single"/>
      <scheme val="minor"/>
    </font>
    <font>
      <name val="Calibri"/>
      <family val="2"/>
      <color theme="11"/>
      <sz val="11"/>
      <u val="single"/>
      <scheme val="minor"/>
    </font>
    <font>
      <name val="Tahoma"/>
      <family val="2"/>
      <color indexed="81"/>
      <sz val="9"/>
    </font>
    <font>
      <name val="Arial"/>
      <family val="18"/>
      <color rgb="FF444444"/>
      <sz val="11"/>
    </font>
    <font>
      <name val="Calibri"/>
      <family val="2"/>
      <color rgb="FF000000"/>
      <sz val="11"/>
      <scheme val="minor"/>
    </font>
    <font>
      <name val="Calibri"/>
      <family val="2"/>
      <b val="1"/>
      <color rgb="FF000000"/>
      <sz val="11"/>
      <scheme val="minor"/>
    </font>
  </fonts>
  <fills count="12">
    <fill>
      <patternFill/>
    </fill>
    <fill>
      <patternFill patternType="gray125"/>
    </fill>
    <fill>
      <patternFill patternType="solid">
        <fgColor theme="4"/>
        <bgColor indexed="64"/>
      </patternFill>
    </fill>
    <fill>
      <patternFill patternType="solid">
        <fgColor theme="0"/>
        <bgColor indexed="64"/>
      </patternFill>
    </fill>
    <fill>
      <patternFill patternType="solid">
        <fgColor rgb="FFFFFFFF"/>
        <bgColor rgb="FF000000"/>
      </patternFill>
    </fill>
    <fill>
      <patternFill patternType="solid">
        <fgColor theme="9" tint="0.5999938962981048"/>
        <bgColor indexed="64"/>
      </patternFill>
    </fill>
    <fill>
      <patternFill patternType="solid">
        <fgColor theme="8" tint="0.7999816888943144"/>
        <bgColor rgb="FF000000"/>
      </patternFill>
    </fill>
    <fill>
      <patternFill patternType="solid">
        <fgColor theme="8" tint="0.7999816888943144"/>
        <bgColor indexed="64"/>
      </patternFill>
    </fill>
    <fill>
      <patternFill patternType="solid">
        <fgColor theme="8" tint="0.5999633777886288"/>
        <bgColor indexed="64"/>
      </patternFill>
    </fill>
    <fill>
      <patternFill patternType="solid">
        <fgColor rgb="FFA6B9E1"/>
        <bgColor rgb="FF000000"/>
      </patternFill>
    </fill>
    <fill>
      <patternFill patternType="solid">
        <fgColor rgb="FFD9E1F2"/>
        <bgColor rgb="FF000000"/>
      </patternFill>
    </fill>
    <fill>
      <patternFill patternType="solid">
        <fgColor rgb="FFFFFFFF"/>
        <bgColor indexed="64"/>
      </patternFill>
    </fill>
  </fills>
  <borders count="63">
    <border>
      <left/>
      <right/>
      <top/>
      <bottom/>
      <diagonal/>
    </border>
    <border>
      <left style="medium">
        <color auto="1"/>
      </left>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bottom style="thin">
        <color auto="1"/>
      </bottom>
      <diagonal/>
    </border>
    <border>
      <left/>
      <right style="medium">
        <color auto="1"/>
      </right>
      <top/>
      <bottom style="thin">
        <color auto="1"/>
      </bottom>
      <diagonal/>
    </border>
    <border>
      <left style="medium">
        <color auto="1"/>
      </left>
      <right style="thin">
        <color auto="1"/>
      </right>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auto="1"/>
      </left>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hair">
        <color auto="1"/>
      </left>
      <right style="hair">
        <color auto="1"/>
      </right>
      <top style="hair">
        <color auto="1"/>
      </top>
      <bottom style="hair">
        <color auto="1"/>
      </bottom>
      <diagonal/>
    </border>
    <border>
      <left/>
      <right/>
      <top style="thin">
        <color auto="1"/>
      </top>
      <bottom/>
      <diagonal/>
    </border>
    <border>
      <left/>
      <right/>
      <top style="medium">
        <color auto="1"/>
      </top>
      <bottom/>
      <diagonal/>
    </border>
    <border>
      <left/>
      <right style="medium">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style="thick">
        <color auto="1"/>
      </top>
      <bottom style="medium">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diagonal/>
    </border>
    <border>
      <left/>
      <right style="thin">
        <color auto="1"/>
      </right>
      <top style="medium">
        <color auto="1"/>
      </top>
      <bottom style="thin">
        <color auto="1"/>
      </bottom>
      <diagonal/>
    </border>
    <border>
      <left style="medium">
        <color auto="1"/>
      </left>
      <right style="medium">
        <color auto="1"/>
      </right>
      <top style="thin">
        <color auto="1"/>
      </top>
      <bottom style="medium">
        <color auto="1"/>
      </bottom>
      <diagonal/>
    </border>
    <border>
      <left/>
      <right/>
      <top style="thick">
        <color auto="1"/>
      </top>
      <bottom/>
      <diagonal/>
    </border>
    <border>
      <left style="thick">
        <color auto="1"/>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bottom style="thin">
        <color auto="1"/>
      </bottom>
      <diagonal/>
    </border>
    <border>
      <left style="medium">
        <color auto="1"/>
      </left>
      <right style="medium">
        <color auto="1"/>
      </right>
      <top style="medium">
        <color auto="1"/>
      </top>
      <bottom style="medium">
        <color auto="1"/>
      </bottom>
      <diagonal/>
    </border>
  </borders>
  <cellStyleXfs count="8">
    <xf numFmtId="0" fontId="1" fillId="0" borderId="0"/>
    <xf numFmtId="44" fontId="1" fillId="0" borderId="0"/>
    <xf numFmtId="0" fontId="2" fillId="0" borderId="0"/>
    <xf numFmtId="43" fontId="1" fillId="0" borderId="0"/>
    <xf numFmtId="43" fontId="2" fillId="0" borderId="0"/>
    <xf numFmtId="9" fontId="1" fillId="0" borderId="0"/>
    <xf numFmtId="0" fontId="17" fillId="0" borderId="0"/>
    <xf numFmtId="0" fontId="18" fillId="0" borderId="0"/>
  </cellStyleXfs>
  <cellXfs count="262">
    <xf numFmtId="0" fontId="0" fillId="0" borderId="0" pivotButton="0" quotePrefix="0" xfId="0"/>
    <xf numFmtId="164" fontId="0" fillId="0" borderId="0" pivotButton="0" quotePrefix="0" xfId="1"/>
    <xf numFmtId="0" fontId="3" fillId="2" borderId="0" applyAlignment="1" pivotButton="0" quotePrefix="0" xfId="0">
      <alignment horizontal="centerContinuous"/>
    </xf>
    <xf numFmtId="0" fontId="5" fillId="0" borderId="0" pivotButton="0" quotePrefix="0" xfId="0"/>
    <xf numFmtId="0" fontId="5" fillId="0" borderId="0" applyAlignment="1" pivotButton="0" quotePrefix="0" xfId="0">
      <alignment vertical="top"/>
    </xf>
    <xf numFmtId="0" fontId="5" fillId="0" borderId="0" applyAlignment="1" pivotButton="0" quotePrefix="0" xfId="0">
      <alignment horizontal="right"/>
    </xf>
    <xf numFmtId="165" fontId="6" fillId="0" borderId="0" pivotButton="0" quotePrefix="0" xfId="4"/>
    <xf numFmtId="166" fontId="9" fillId="0" borderId="0" applyAlignment="1" pivotButton="0" quotePrefix="0" xfId="4">
      <alignment horizontal="center"/>
    </xf>
    <xf numFmtId="43" fontId="6" fillId="0" borderId="0" applyAlignment="1" pivotButton="0" quotePrefix="0" xfId="4">
      <alignment horizontal="center"/>
    </xf>
    <xf numFmtId="14" fontId="5" fillId="0" borderId="0" applyAlignment="1" applyProtection="1" pivotButton="0" quotePrefix="0" xfId="0">
      <alignment vertical="top"/>
      <protection locked="0" hidden="0"/>
    </xf>
    <xf numFmtId="0" fontId="5" fillId="0" borderId="0" applyAlignment="1" applyProtection="1" pivotButton="0" quotePrefix="0" xfId="0">
      <alignment horizontal="right"/>
      <protection locked="0" hidden="0"/>
    </xf>
    <xf numFmtId="0" fontId="14" fillId="0" borderId="0" pivotButton="0" quotePrefix="0" xfId="0"/>
    <xf numFmtId="0" fontId="5" fillId="0" borderId="0" applyAlignment="1" pivotButton="0" quotePrefix="0" xfId="0">
      <alignment horizontal="center" vertical="center"/>
    </xf>
    <xf numFmtId="0" fontId="6" fillId="7" borderId="12" applyAlignment="1" pivotButton="0" quotePrefix="0" xfId="2">
      <alignment horizontal="center" vertical="center"/>
    </xf>
    <xf numFmtId="165" fontId="6" fillId="7" borderId="12" applyAlignment="1" pivotButton="0" quotePrefix="0" xfId="4">
      <alignment horizontal="center" vertical="center"/>
    </xf>
    <xf numFmtId="14" fontId="0" fillId="0" borderId="0" pivotButton="0" quotePrefix="0" xfId="0"/>
    <xf numFmtId="0" fontId="15" fillId="0" borderId="29" pivotButton="0" quotePrefix="0" xfId="0"/>
    <xf numFmtId="0" fontId="15" fillId="0" borderId="29" applyProtection="1" pivotButton="0" quotePrefix="0" xfId="0">
      <protection locked="0" hidden="0"/>
    </xf>
    <xf numFmtId="2" fontId="0" fillId="0" borderId="29" pivotButton="0" quotePrefix="0" xfId="0"/>
    <xf numFmtId="164" fontId="0" fillId="0" borderId="29" pivotButton="0" quotePrefix="0" xfId="1"/>
    <xf numFmtId="0" fontId="6" fillId="0" borderId="0" pivotButton="0" quotePrefix="0" xfId="2"/>
    <xf numFmtId="0" fontId="0" fillId="0" borderId="0" applyAlignment="1" pivotButton="0" quotePrefix="0" xfId="0">
      <alignment horizontal="left"/>
    </xf>
    <xf numFmtId="164" fontId="0" fillId="0" borderId="0" pivotButton="0" quotePrefix="0" xfId="0"/>
    <xf numFmtId="0" fontId="16" fillId="8" borderId="1" applyAlignment="1" pivotButton="0" quotePrefix="0" xfId="2">
      <alignment vertical="center"/>
    </xf>
    <xf numFmtId="0" fontId="16" fillId="8" borderId="31" applyAlignment="1" pivotButton="0" quotePrefix="0" xfId="2">
      <alignment vertical="center"/>
    </xf>
    <xf numFmtId="0" fontId="16" fillId="8" borderId="36" applyAlignment="1" pivotButton="0" quotePrefix="0" xfId="2">
      <alignment vertical="center"/>
    </xf>
    <xf numFmtId="0" fontId="7" fillId="7" borderId="35" applyAlignment="1" pivotButton="0" quotePrefix="0" xfId="0">
      <alignment horizontal="center" vertical="center"/>
    </xf>
    <xf numFmtId="0" fontId="7" fillId="8" borderId="33" applyAlignment="1" pivotButton="0" quotePrefix="0" xfId="0">
      <alignment horizontal="center" vertical="center"/>
    </xf>
    <xf numFmtId="0" fontId="7" fillId="8" borderId="34" applyAlignment="1" pivotButton="0" quotePrefix="0" xfId="0">
      <alignment horizontal="center" vertical="center"/>
    </xf>
    <xf numFmtId="0" fontId="7" fillId="8" borderId="35" applyAlignment="1" pivotButton="0" quotePrefix="0" xfId="0">
      <alignment horizontal="center" vertical="center"/>
    </xf>
    <xf numFmtId="0" fontId="6" fillId="7" borderId="10" applyAlignment="1" pivotButton="0" quotePrefix="0" xfId="2">
      <alignment horizontal="center" vertical="center"/>
    </xf>
    <xf numFmtId="0" fontId="7" fillId="7" borderId="11" applyAlignment="1" pivotButton="0" quotePrefix="0" xfId="0">
      <alignment horizontal="center" vertical="center"/>
    </xf>
    <xf numFmtId="0" fontId="7" fillId="7" borderId="12" applyAlignment="1" pivotButton="0" quotePrefix="0" xfId="0">
      <alignment horizontal="center" vertical="center"/>
    </xf>
    <xf numFmtId="165" fontId="6" fillId="7" borderId="10" applyAlignment="1" pivotButton="0" quotePrefix="0" xfId="4">
      <alignment horizontal="center" vertical="center"/>
    </xf>
    <xf numFmtId="0" fontId="7" fillId="0" borderId="8" applyAlignment="1" pivotButton="0" quotePrefix="0" xfId="0">
      <alignment horizontal="center" vertical="center"/>
    </xf>
    <xf numFmtId="0" fontId="10" fillId="0" borderId="8" applyAlignment="1" pivotButton="0" quotePrefix="0" xfId="0">
      <alignment horizontal="center" vertical="center"/>
    </xf>
    <xf numFmtId="0" fontId="6" fillId="7" borderId="11" applyAlignment="1" pivotButton="0" quotePrefix="0" xfId="2">
      <alignment vertical="center"/>
    </xf>
    <xf numFmtId="165" fontId="6" fillId="7" borderId="11" applyAlignment="1" pivotButton="0" quotePrefix="0" xfId="4">
      <alignment vertical="center"/>
    </xf>
    <xf numFmtId="0" fontId="5" fillId="7" borderId="11" applyAlignment="1" pivotButton="0" quotePrefix="0" xfId="0">
      <alignment vertical="center"/>
    </xf>
    <xf numFmtId="0" fontId="6" fillId="7" borderId="12" applyAlignment="1" pivotButton="0" quotePrefix="0" xfId="2">
      <alignment vertical="center"/>
    </xf>
    <xf numFmtId="0" fontId="7" fillId="0" borderId="18" applyAlignment="1" pivotButton="0" quotePrefix="0" xfId="0">
      <alignment vertical="center"/>
    </xf>
    <xf numFmtId="0" fontId="7" fillId="0" borderId="27" applyAlignment="1" pivotButton="0" quotePrefix="0" xfId="0">
      <alignment horizontal="right" vertical="center"/>
    </xf>
    <xf numFmtId="0" fontId="7" fillId="0" borderId="28" applyAlignment="1" pivotButton="0" quotePrefix="0" xfId="0">
      <alignment horizontal="right" vertical="center"/>
    </xf>
    <xf numFmtId="9" fontId="7" fillId="3" borderId="21" applyAlignment="1" pivotButton="0" quotePrefix="0" xfId="0">
      <alignment vertical="center"/>
    </xf>
    <xf numFmtId="167" fontId="5" fillId="0" borderId="14" applyAlignment="1" pivotButton="0" quotePrefix="0" xfId="0">
      <alignment horizontal="right" vertical="center"/>
    </xf>
    <xf numFmtId="42" fontId="7" fillId="0" borderId="21" applyAlignment="1" pivotButton="0" quotePrefix="0" xfId="0">
      <alignment horizontal="left" vertical="center"/>
    </xf>
    <xf numFmtId="3" fontId="5" fillId="0" borderId="14" applyAlignment="1" pivotButton="0" quotePrefix="0" xfId="0">
      <alignment horizontal="right" vertical="center" wrapText="1"/>
    </xf>
    <xf numFmtId="3" fontId="5" fillId="0" borderId="15" applyAlignment="1" pivotButton="0" quotePrefix="0" xfId="0">
      <alignment horizontal="right" vertical="center" wrapText="1"/>
    </xf>
    <xf numFmtId="42" fontId="7" fillId="0" borderId="22" applyAlignment="1" pivotButton="0" quotePrefix="0" xfId="0">
      <alignment horizontal="left" vertical="center"/>
    </xf>
    <xf numFmtId="3" fontId="5" fillId="0" borderId="16" applyAlignment="1" pivotButton="0" quotePrefix="0" xfId="0">
      <alignment horizontal="right" vertical="center" wrapText="1"/>
    </xf>
    <xf numFmtId="3" fontId="5" fillId="0" borderId="17" applyAlignment="1" pivotButton="0" quotePrefix="0" xfId="0">
      <alignment horizontal="right" vertical="center" wrapText="1"/>
    </xf>
    <xf numFmtId="0" fontId="5" fillId="7" borderId="11" applyAlignment="1" pivotButton="0" quotePrefix="0" xfId="0">
      <alignment horizontal="right" vertical="center"/>
    </xf>
    <xf numFmtId="0" fontId="6" fillId="7" borderId="11" applyAlignment="1" pivotButton="0" quotePrefix="0" xfId="2">
      <alignment horizontal="right" vertical="center"/>
    </xf>
    <xf numFmtId="0" fontId="6" fillId="7" borderId="12" applyAlignment="1" pivotButton="0" quotePrefix="0" xfId="2">
      <alignment horizontal="right" vertical="center"/>
    </xf>
    <xf numFmtId="9" fontId="7" fillId="3" borderId="13" applyAlignment="1" pivotButton="0" quotePrefix="0" xfId="0">
      <alignment vertical="center"/>
    </xf>
    <xf numFmtId="42" fontId="7" fillId="0" borderId="13" applyAlignment="1" pivotButton="0" quotePrefix="0" xfId="0">
      <alignment horizontal="left" vertical="center"/>
    </xf>
    <xf numFmtId="42" fontId="7" fillId="0" borderId="9" applyAlignment="1" pivotButton="0" quotePrefix="0" xfId="0">
      <alignment horizontal="left" vertical="center"/>
    </xf>
    <xf numFmtId="0" fontId="6" fillId="6" borderId="11" applyAlignment="1" pivotButton="0" quotePrefix="0" xfId="0">
      <alignment vertical="center"/>
    </xf>
    <xf numFmtId="0" fontId="6" fillId="6" borderId="11" applyAlignment="1" pivotButton="0" quotePrefix="0" xfId="0">
      <alignment horizontal="right" vertical="center"/>
    </xf>
    <xf numFmtId="0" fontId="6" fillId="6" borderId="12" applyAlignment="1" pivotButton="0" quotePrefix="0" xfId="0">
      <alignment horizontal="right" vertical="center"/>
    </xf>
    <xf numFmtId="0" fontId="10" fillId="0" borderId="18" applyAlignment="1" pivotButton="0" quotePrefix="0" xfId="0">
      <alignment vertical="center"/>
    </xf>
    <xf numFmtId="0" fontId="10" fillId="0" borderId="18" applyAlignment="1" pivotButton="0" quotePrefix="0" xfId="0">
      <alignment horizontal="right" vertical="center"/>
    </xf>
    <xf numFmtId="0" fontId="10" fillId="0" borderId="19" applyAlignment="1" pivotButton="0" quotePrefix="0" xfId="0">
      <alignment horizontal="right" vertical="center"/>
    </xf>
    <xf numFmtId="9" fontId="10" fillId="4" borderId="8" applyAlignment="1" pivotButton="0" quotePrefix="0" xfId="0">
      <alignment vertical="center"/>
    </xf>
    <xf numFmtId="9" fontId="10" fillId="4" borderId="18" applyAlignment="1" pivotButton="0" quotePrefix="0" xfId="0">
      <alignment vertical="center"/>
    </xf>
    <xf numFmtId="42" fontId="10" fillId="0" borderId="8" applyAlignment="1" pivotButton="0" quotePrefix="0" xfId="0">
      <alignment horizontal="left" vertical="center"/>
    </xf>
    <xf numFmtId="42" fontId="10" fillId="0" borderId="18" applyAlignment="1" pivotButton="0" quotePrefix="0" xfId="0">
      <alignment horizontal="left" vertical="center"/>
    </xf>
    <xf numFmtId="42" fontId="10" fillId="0" borderId="20" applyAlignment="1" pivotButton="0" quotePrefix="0" xfId="0">
      <alignment horizontal="left" vertical="center"/>
    </xf>
    <xf numFmtId="42" fontId="10" fillId="0" borderId="7" applyAlignment="1" pivotButton="0" quotePrefix="0" xfId="0">
      <alignment horizontal="left" vertical="center"/>
    </xf>
    <xf numFmtId="0" fontId="5" fillId="0" borderId="2" applyAlignment="1" pivotButton="0" quotePrefix="0" xfId="0">
      <alignment vertical="center"/>
    </xf>
    <xf numFmtId="0" fontId="5" fillId="0" borderId="0" applyAlignment="1" pivotButton="0" quotePrefix="0" xfId="0">
      <alignment vertical="center"/>
    </xf>
    <xf numFmtId="0" fontId="5" fillId="0" borderId="4" applyAlignment="1" pivotButton="0" quotePrefix="0" xfId="0">
      <alignment vertical="center"/>
    </xf>
    <xf numFmtId="0" fontId="5" fillId="0" borderId="5" applyAlignment="1" pivotButton="0" quotePrefix="0" xfId="0">
      <alignment vertical="center"/>
    </xf>
    <xf numFmtId="0" fontId="5" fillId="0" borderId="18" applyAlignment="1" pivotButton="0" quotePrefix="0" xfId="0">
      <alignment vertical="center"/>
    </xf>
    <xf numFmtId="0" fontId="5" fillId="0" borderId="21" applyAlignment="1" pivotButton="0" quotePrefix="0" xfId="0">
      <alignment vertical="center"/>
    </xf>
    <xf numFmtId="0" fontId="5" fillId="0" borderId="40" applyAlignment="1" pivotButton="0" quotePrefix="0" xfId="0">
      <alignment vertical="center"/>
    </xf>
    <xf numFmtId="9" fontId="5" fillId="0" borderId="15" applyAlignment="1" pivotButton="0" quotePrefix="0" xfId="5">
      <alignment horizontal="right" vertical="center"/>
    </xf>
    <xf numFmtId="0" fontId="5" fillId="0" borderId="22" applyAlignment="1" pivotButton="0" quotePrefix="0" xfId="0">
      <alignment vertical="center"/>
    </xf>
    <xf numFmtId="0" fontId="5" fillId="0" borderId="2" applyAlignment="1" pivotButton="0" quotePrefix="0" xfId="0">
      <alignment horizontal="left" vertical="center"/>
    </xf>
    <xf numFmtId="0" fontId="5" fillId="0" borderId="5" applyAlignment="1" pivotButton="0" quotePrefix="0" xfId="0">
      <alignment horizontal="left" vertical="center"/>
    </xf>
    <xf numFmtId="0" fontId="5" fillId="0" borderId="1" applyAlignment="1" pivotButton="0" quotePrefix="0" xfId="0">
      <alignment horizontal="left" vertical="center"/>
    </xf>
    <xf numFmtId="168" fontId="5" fillId="0" borderId="31" applyAlignment="1" pivotButton="0" quotePrefix="0" xfId="0">
      <alignment horizontal="left" vertical="center"/>
    </xf>
    <xf numFmtId="0" fontId="5" fillId="0" borderId="31" applyAlignment="1" pivotButton="0" quotePrefix="0" xfId="0">
      <alignment horizontal="left" vertical="center"/>
    </xf>
    <xf numFmtId="0" fontId="5" fillId="0" borderId="36" applyAlignment="1" pivotButton="0" quotePrefix="0" xfId="0">
      <alignment horizontal="left" vertical="center"/>
    </xf>
    <xf numFmtId="0" fontId="5" fillId="0" borderId="0" applyAlignment="1" pivotButton="0" quotePrefix="0" xfId="0">
      <alignment horizontal="left" vertical="center"/>
    </xf>
    <xf numFmtId="0" fontId="5" fillId="0" borderId="4" applyAlignment="1" pivotButton="0" quotePrefix="0" xfId="0">
      <alignment horizontal="left" vertical="center"/>
    </xf>
    <xf numFmtId="169" fontId="5" fillId="0" borderId="5" applyAlignment="1" pivotButton="0" quotePrefix="0" xfId="0">
      <alignment horizontal="left" vertical="center"/>
    </xf>
    <xf numFmtId="0" fontId="7" fillId="8" borderId="33" applyAlignment="1" pivotButton="0" quotePrefix="0" xfId="0">
      <alignment vertical="center"/>
    </xf>
    <xf numFmtId="0" fontId="5" fillId="8" borderId="34" applyAlignment="1" pivotButton="0" quotePrefix="0" xfId="0">
      <alignment vertical="center"/>
    </xf>
    <xf numFmtId="0" fontId="7" fillId="8" borderId="34" applyAlignment="1" pivotButton="0" quotePrefix="0" xfId="0">
      <alignment vertical="center"/>
    </xf>
    <xf numFmtId="0" fontId="5" fillId="8" borderId="35" applyAlignment="1" pivotButton="0" quotePrefix="0" xfId="0">
      <alignment vertical="center"/>
    </xf>
    <xf numFmtId="170" fontId="5" fillId="0" borderId="27" applyAlignment="1" pivotButton="0" quotePrefix="0" xfId="1">
      <alignment horizontal="left" vertical="center"/>
    </xf>
    <xf numFmtId="170" fontId="5" fillId="0" borderId="28" applyAlignment="1" pivotButton="0" quotePrefix="0" xfId="1">
      <alignment horizontal="left" vertical="center"/>
    </xf>
    <xf numFmtId="170" fontId="5" fillId="0" borderId="14" applyAlignment="1" pivotButton="0" quotePrefix="0" xfId="1">
      <alignment horizontal="left" vertical="center"/>
    </xf>
    <xf numFmtId="170" fontId="5" fillId="0" borderId="15" applyAlignment="1" pivotButton="0" quotePrefix="0" xfId="1">
      <alignment horizontal="left" vertical="center"/>
    </xf>
    <xf numFmtId="170" fontId="5" fillId="0" borderId="42" applyAlignment="1" pivotButton="0" quotePrefix="0" xfId="1">
      <alignment horizontal="left" vertical="center"/>
    </xf>
    <xf numFmtId="170" fontId="5" fillId="0" borderId="27" applyAlignment="1" pivotButton="0" quotePrefix="0" xfId="1">
      <alignment horizontal="left" vertical="center"/>
    </xf>
    <xf numFmtId="170" fontId="5" fillId="0" borderId="28" applyAlignment="1" pivotButton="0" quotePrefix="0" xfId="1">
      <alignment horizontal="left" vertical="center"/>
    </xf>
    <xf numFmtId="170" fontId="5" fillId="0" borderId="14" applyAlignment="1" pivotButton="0" quotePrefix="0" xfId="1">
      <alignment horizontal="left" vertical="center"/>
    </xf>
    <xf numFmtId="170" fontId="5" fillId="0" borderId="15" applyAlignment="1" pivotButton="0" quotePrefix="0" xfId="1">
      <alignment horizontal="left" vertical="center"/>
    </xf>
    <xf numFmtId="170" fontId="5" fillId="0" borderId="41" applyAlignment="1" pivotButton="0" quotePrefix="0" xfId="1">
      <alignment horizontal="left" vertical="center"/>
    </xf>
    <xf numFmtId="170" fontId="5" fillId="0" borderId="42" applyAlignment="1" pivotButton="0" quotePrefix="0" xfId="1">
      <alignment horizontal="left" vertical="center"/>
    </xf>
    <xf numFmtId="170" fontId="5" fillId="0" borderId="16" applyAlignment="1" pivotButton="0" quotePrefix="0" xfId="1">
      <alignment horizontal="left" vertical="center"/>
    </xf>
    <xf numFmtId="170" fontId="5" fillId="0" borderId="17" applyAlignment="1" pivotButton="0" quotePrefix="0" xfId="1">
      <alignment horizontal="left" vertical="center"/>
    </xf>
    <xf numFmtId="9" fontId="5" fillId="0" borderId="14" applyAlignment="1" pivotButton="0" quotePrefix="0" xfId="5">
      <alignment horizontal="right" vertical="center"/>
    </xf>
    <xf numFmtId="164" fontId="5" fillId="0" borderId="41" applyAlignment="1" pivotButton="0" quotePrefix="0" xfId="1">
      <alignment horizontal="left" vertical="center"/>
    </xf>
    <xf numFmtId="164" fontId="5" fillId="0" borderId="42" applyAlignment="1" pivotButton="0" quotePrefix="0" xfId="1">
      <alignment horizontal="left" vertical="center"/>
    </xf>
    <xf numFmtId="164" fontId="5" fillId="0" borderId="46" applyAlignment="1" pivotButton="0" quotePrefix="0" xfId="0">
      <alignment horizontal="left" vertical="center"/>
    </xf>
    <xf numFmtId="0" fontId="11" fillId="0" borderId="13" applyAlignment="1" pivotButton="0" quotePrefix="0" xfId="0">
      <alignment horizontal="left" vertical="center"/>
    </xf>
    <xf numFmtId="0" fontId="11" fillId="0" borderId="9" applyAlignment="1" pivotButton="0" quotePrefix="0" xfId="0">
      <alignment horizontal="left" vertical="center"/>
    </xf>
    <xf numFmtId="0" fontId="5" fillId="0" borderId="49" applyAlignment="1" pivotButton="0" quotePrefix="0" xfId="0">
      <alignment vertical="center"/>
    </xf>
    <xf numFmtId="0" fontId="5" fillId="0" borderId="50" applyAlignment="1" pivotButton="0" quotePrefix="0" xfId="0">
      <alignment vertical="center"/>
    </xf>
    <xf numFmtId="0" fontId="5" fillId="0" borderId="13" applyAlignment="1" pivotButton="0" quotePrefix="0" xfId="0">
      <alignment vertical="center"/>
    </xf>
    <xf numFmtId="0" fontId="5" fillId="0" borderId="14" applyAlignment="1" pivotButton="0" quotePrefix="0" xfId="0">
      <alignment vertical="center"/>
    </xf>
    <xf numFmtId="171" fontId="5" fillId="0" borderId="15" applyAlignment="1" pivotButton="0" quotePrefix="0" xfId="0">
      <alignment vertical="center"/>
    </xf>
    <xf numFmtId="0" fontId="5" fillId="0" borderId="9" applyAlignment="1" pivotButton="0" quotePrefix="0" xfId="0">
      <alignment vertical="center"/>
    </xf>
    <xf numFmtId="0" fontId="5" fillId="0" borderId="16" applyAlignment="1" pivotButton="0" quotePrefix="0" xfId="0">
      <alignment vertical="center"/>
    </xf>
    <xf numFmtId="171" fontId="5" fillId="0" borderId="17" applyAlignment="1" pivotButton="0" quotePrefix="0" xfId="0">
      <alignment vertical="center"/>
    </xf>
    <xf numFmtId="172" fontId="11" fillId="0" borderId="15" applyAlignment="1" pivotButton="0" quotePrefix="0" xfId="0">
      <alignment horizontal="left" vertical="center"/>
    </xf>
    <xf numFmtId="43" fontId="5" fillId="0" borderId="15" applyAlignment="1" pivotButton="0" quotePrefix="0" xfId="3">
      <alignment horizontal="left" vertical="center"/>
    </xf>
    <xf numFmtId="164" fontId="5" fillId="0" borderId="15" applyAlignment="1" pivotButton="0" quotePrefix="0" xfId="1">
      <alignment horizontal="left" vertical="center"/>
    </xf>
    <xf numFmtId="173" fontId="12" fillId="0" borderId="15" applyAlignment="1" pivotButton="0" quotePrefix="1" xfId="1">
      <alignment horizontal="left" vertical="center"/>
    </xf>
    <xf numFmtId="0" fontId="10" fillId="9" borderId="49" applyAlignment="1" pivotButton="0" quotePrefix="0" xfId="0">
      <alignment horizontal="left" vertical="center"/>
    </xf>
    <xf numFmtId="0" fontId="10" fillId="9" borderId="9" applyAlignment="1" pivotButton="0" quotePrefix="0" xfId="0">
      <alignment horizontal="left" vertical="center"/>
    </xf>
    <xf numFmtId="3" fontId="9" fillId="0" borderId="15" applyAlignment="1" pivotButton="0" quotePrefix="0" xfId="4">
      <alignment horizontal="right" vertical="center"/>
    </xf>
    <xf numFmtId="3" fontId="9" fillId="0" borderId="17" applyAlignment="1" pivotButton="0" quotePrefix="0" xfId="4">
      <alignment horizontal="right" vertical="center"/>
    </xf>
    <xf numFmtId="167" fontId="9" fillId="0" borderId="15" applyAlignment="1" pivotButton="0" quotePrefix="0" xfId="4">
      <alignment horizontal="right" vertical="center"/>
    </xf>
    <xf numFmtId="42" fontId="8" fillId="5" borderId="16" applyAlignment="1" pivotButton="0" quotePrefix="0" xfId="0">
      <alignment horizontal="left" vertical="center"/>
    </xf>
    <xf numFmtId="1" fontId="9" fillId="0" borderId="17" applyAlignment="1" pivotButton="0" quotePrefix="0" xfId="4">
      <alignment horizontal="right" vertical="center"/>
    </xf>
    <xf numFmtId="0" fontId="7" fillId="0" borderId="13" applyAlignment="1" pivotButton="0" quotePrefix="0" xfId="0">
      <alignment horizontal="center" vertical="center"/>
    </xf>
    <xf numFmtId="0" fontId="7" fillId="0" borderId="14" applyAlignment="1" pivotButton="0" quotePrefix="0" xfId="0">
      <alignment vertical="center"/>
    </xf>
    <xf numFmtId="9" fontId="7" fillId="3" borderId="13" applyAlignment="1" pivotButton="0" quotePrefix="0" xfId="0">
      <alignment horizontal="right" vertical="center"/>
    </xf>
    <xf numFmtId="9" fontId="7" fillId="3" borderId="14" applyAlignment="1" pivotButton="0" quotePrefix="0" xfId="0">
      <alignment vertical="center"/>
    </xf>
    <xf numFmtId="42" fontId="7" fillId="0" borderId="14" applyAlignment="1" pivotButton="0" quotePrefix="0" xfId="0">
      <alignment horizontal="left" vertical="center"/>
    </xf>
    <xf numFmtId="42" fontId="7" fillId="0" borderId="16" applyAlignment="1" pivotButton="0" quotePrefix="0" xfId="0">
      <alignment horizontal="left" vertical="center"/>
    </xf>
    <xf numFmtId="167" fontId="5" fillId="0" borderId="15" applyAlignment="1" pivotButton="0" quotePrefix="0" xfId="0">
      <alignment horizontal="right" vertical="center"/>
    </xf>
    <xf numFmtId="1" fontId="5" fillId="0" borderId="47" applyAlignment="1" pivotButton="0" quotePrefix="0" xfId="0">
      <alignment horizontal="right" vertical="center"/>
    </xf>
    <xf numFmtId="1" fontId="5" fillId="0" borderId="48" applyAlignment="1" pivotButton="0" quotePrefix="0" xfId="0">
      <alignment horizontal="right" vertical="center"/>
    </xf>
    <xf numFmtId="174" fontId="5" fillId="0" borderId="17" applyAlignment="1" pivotButton="0" quotePrefix="0" xfId="0">
      <alignment horizontal="left" vertical="center"/>
    </xf>
    <xf numFmtId="0" fontId="20" fillId="11" borderId="0" applyAlignment="1" pivotButton="0" quotePrefix="0" xfId="0">
      <alignment wrapText="1"/>
    </xf>
    <xf numFmtId="166" fontId="5" fillId="0" borderId="15" applyAlignment="1" pivotButton="0" quotePrefix="0" xfId="3">
      <alignment horizontal="left" vertical="center"/>
    </xf>
    <xf numFmtId="0" fontId="0" fillId="0" borderId="0" applyAlignment="1" pivotButton="0" quotePrefix="0" xfId="0">
      <alignment wrapText="1"/>
    </xf>
    <xf numFmtId="0" fontId="17" fillId="0" borderId="0" applyAlignment="1" pivotButton="0" quotePrefix="0" xfId="32">
      <alignment horizontal="left" vertical="center"/>
    </xf>
    <xf numFmtId="0" fontId="21" fillId="0" borderId="0" applyAlignment="1" pivotButton="0" quotePrefix="0" xfId="0">
      <alignment horizontal="left" vertical="center"/>
    </xf>
    <xf numFmtId="0" fontId="7" fillId="0" borderId="0" pivotButton="0" quotePrefix="0" xfId="0"/>
    <xf numFmtId="0" fontId="22" fillId="0" borderId="0" applyAlignment="1" pivotButton="0" quotePrefix="0" xfId="0">
      <alignment vertical="center"/>
    </xf>
    <xf numFmtId="0" fontId="17" fillId="0" borderId="5" applyAlignment="1" pivotButton="0" quotePrefix="0" xfId="32">
      <alignment wrapText="1"/>
    </xf>
    <xf numFmtId="0" fontId="16" fillId="8" borderId="34" applyAlignment="1" pivotButton="0" quotePrefix="0" xfId="2">
      <alignment vertical="center"/>
    </xf>
    <xf numFmtId="0" fontId="5" fillId="3" borderId="3" applyAlignment="1" pivotButton="0" quotePrefix="0" xfId="0">
      <alignment horizontal="left" vertical="center"/>
    </xf>
    <xf numFmtId="0" fontId="20" fillId="3" borderId="6" applyAlignment="1" pivotButton="0" quotePrefix="0" xfId="0">
      <alignment wrapText="1"/>
    </xf>
    <xf numFmtId="0" fontId="21" fillId="0" borderId="0" applyAlignment="1" pivotButton="0" quotePrefix="0" xfId="0">
      <alignment vertical="center" wrapText="1"/>
    </xf>
    <xf numFmtId="14" fontId="5" fillId="0" borderId="50" applyAlignment="1" pivotButton="0" quotePrefix="0" xfId="0">
      <alignment vertical="center"/>
    </xf>
    <xf numFmtId="14" fontId="5" fillId="0" borderId="14" applyAlignment="1" pivotButton="0" quotePrefix="0" xfId="0">
      <alignment vertical="center"/>
    </xf>
    <xf numFmtId="14" fontId="5" fillId="0" borderId="16" applyAlignment="1" pivotButton="0" quotePrefix="0" xfId="0">
      <alignment vertical="center"/>
    </xf>
    <xf numFmtId="0" fontId="0" fillId="0" borderId="0" applyAlignment="1" pivotButton="0" quotePrefix="0" xfId="0">
      <alignment horizontal="left" wrapText="1"/>
    </xf>
    <xf numFmtId="0" fontId="13" fillId="8" borderId="23" applyAlignment="1" pivotButton="0" quotePrefix="0" xfId="0">
      <alignment horizontal="center" vertical="center"/>
    </xf>
    <xf numFmtId="0" fontId="13" fillId="8" borderId="24" applyAlignment="1" pivotButton="0" quotePrefix="0" xfId="0">
      <alignment horizontal="center" vertical="center"/>
    </xf>
    <xf numFmtId="0" fontId="13" fillId="8" borderId="25" applyAlignment="1" pivotButton="0" quotePrefix="0" xfId="0">
      <alignment horizontal="center" vertical="center"/>
    </xf>
    <xf numFmtId="0" fontId="7" fillId="0" borderId="37" applyAlignment="1" pivotButton="0" quotePrefix="0" xfId="0">
      <alignment horizontal="center" vertical="center"/>
    </xf>
    <xf numFmtId="0" fontId="7" fillId="0" borderId="38" applyAlignment="1" pivotButton="0" quotePrefix="0" xfId="0">
      <alignment horizontal="center" vertical="center"/>
    </xf>
    <xf numFmtId="0" fontId="7" fillId="0" borderId="39" applyAlignment="1" pivotButton="0" quotePrefix="0" xfId="0">
      <alignment horizontal="center" vertical="center"/>
    </xf>
    <xf numFmtId="0" fontId="5" fillId="0" borderId="1" applyAlignment="1" pivotButton="0" quotePrefix="0" xfId="0">
      <alignment horizontal="left" vertical="center" wrapText="1"/>
    </xf>
    <xf numFmtId="0" fontId="5" fillId="0" borderId="31" applyAlignment="1" pivotButton="0" quotePrefix="0" xfId="0">
      <alignment horizontal="left" vertical="center" wrapText="1"/>
    </xf>
    <xf numFmtId="0" fontId="5" fillId="0" borderId="36" applyAlignment="1" pivotButton="0" quotePrefix="0" xfId="0">
      <alignment horizontal="left" vertical="center" wrapText="1"/>
    </xf>
    <xf numFmtId="0" fontId="5" fillId="0" borderId="4" applyAlignment="1" pivotButton="0" quotePrefix="0" xfId="0">
      <alignment horizontal="left" vertical="center" wrapText="1"/>
    </xf>
    <xf numFmtId="0" fontId="5" fillId="0" borderId="5" applyAlignment="1" pivotButton="0" quotePrefix="0" xfId="0">
      <alignment horizontal="left" vertical="center" wrapText="1"/>
    </xf>
    <xf numFmtId="0" fontId="5" fillId="0" borderId="6" applyAlignment="1" pivotButton="0" quotePrefix="0" xfId="0">
      <alignment horizontal="left" vertical="center" wrapText="1"/>
    </xf>
    <xf numFmtId="0" fontId="7" fillId="0" borderId="43" applyAlignment="1" pivotButton="0" quotePrefix="0" xfId="0">
      <alignment horizontal="center" vertical="center"/>
    </xf>
    <xf numFmtId="0" fontId="0" fillId="0" borderId="44" applyAlignment="1" pivotButton="0" quotePrefix="0" xfId="0">
      <alignment horizontal="center" vertical="center"/>
    </xf>
    <xf numFmtId="0" fontId="0" fillId="0" borderId="45" applyAlignment="1" pivotButton="0" quotePrefix="0" xfId="0">
      <alignment horizontal="center" vertical="center"/>
    </xf>
    <xf numFmtId="0" fontId="11" fillId="0" borderId="14" applyAlignment="1" pivotButton="0" quotePrefix="0" xfId="0">
      <alignment horizontal="left" vertical="center"/>
    </xf>
    <xf numFmtId="0" fontId="11" fillId="0" borderId="15" applyAlignment="1" pivotButton="0" quotePrefix="0" xfId="0">
      <alignment horizontal="left" vertical="center"/>
    </xf>
    <xf numFmtId="0" fontId="6" fillId="7" borderId="10" applyAlignment="1" pivotButton="0" quotePrefix="0" xfId="2">
      <alignment horizontal="center" vertical="center"/>
    </xf>
    <xf numFmtId="0" fontId="6" fillId="7" borderId="11" applyAlignment="1" pivotButton="0" quotePrefix="0" xfId="2">
      <alignment horizontal="center" vertical="center"/>
    </xf>
    <xf numFmtId="0" fontId="6" fillId="7" borderId="12" applyAlignment="1" pivotButton="0" quotePrefix="0" xfId="2">
      <alignment horizontal="center" vertical="center"/>
    </xf>
    <xf numFmtId="0" fontId="7" fillId="7" borderId="10" applyAlignment="1" pivotButton="0" quotePrefix="0" xfId="0">
      <alignment horizontal="center" vertical="center"/>
    </xf>
    <xf numFmtId="0" fontId="7" fillId="7" borderId="11" applyAlignment="1" pivotButton="0" quotePrefix="0" xfId="0">
      <alignment horizontal="center" vertical="center"/>
    </xf>
    <xf numFmtId="0" fontId="7" fillId="7" borderId="12" applyAlignment="1" pivotButton="0" quotePrefix="0" xfId="0">
      <alignment horizontal="center" vertical="center"/>
    </xf>
    <xf numFmtId="14" fontId="7" fillId="7" borderId="33" applyAlignment="1" pivotButton="0" quotePrefix="0" xfId="0">
      <alignment horizontal="center" vertical="center"/>
    </xf>
    <xf numFmtId="14" fontId="7" fillId="7" borderId="34" applyAlignment="1" pivotButton="0" quotePrefix="0" xfId="0">
      <alignment horizontal="center" vertical="center"/>
    </xf>
    <xf numFmtId="14" fontId="10" fillId="10" borderId="33" applyAlignment="1" pivotButton="0" quotePrefix="0" xfId="0">
      <alignment horizontal="center" vertical="center"/>
    </xf>
    <xf numFmtId="14" fontId="10" fillId="10" borderId="34" applyAlignment="1" pivotButton="0" quotePrefix="0" xfId="0">
      <alignment horizontal="center" vertical="center"/>
    </xf>
    <xf numFmtId="0" fontId="11" fillId="0" borderId="16" applyAlignment="1" pivotButton="0" quotePrefix="0" xfId="0">
      <alignment horizontal="left" vertical="center"/>
    </xf>
    <xf numFmtId="0" fontId="11" fillId="0" borderId="17" applyAlignment="1" pivotButton="0" quotePrefix="0" xfId="0">
      <alignment horizontal="left" vertical="center"/>
    </xf>
    <xf numFmtId="0" fontId="5" fillId="0" borderId="52" applyAlignment="1" pivotButton="0" quotePrefix="0" xfId="0">
      <alignment horizontal="center"/>
    </xf>
    <xf numFmtId="165" fontId="9" fillId="0" borderId="9" applyAlignment="1" pivotButton="0" quotePrefix="0" xfId="4">
      <alignment horizontal="left" vertical="center"/>
    </xf>
    <xf numFmtId="165" fontId="9" fillId="0" borderId="16" applyAlignment="1" pivotButton="0" quotePrefix="0" xfId="4">
      <alignment horizontal="left" vertical="center"/>
    </xf>
    <xf numFmtId="0" fontId="9" fillId="0" borderId="13" applyAlignment="1" pivotButton="0" quotePrefix="0" xfId="2">
      <alignment horizontal="left" vertical="center"/>
    </xf>
    <xf numFmtId="0" fontId="9" fillId="0" borderId="14" applyAlignment="1" pivotButton="0" quotePrefix="0" xfId="2">
      <alignment horizontal="left" vertical="center"/>
    </xf>
    <xf numFmtId="165" fontId="9" fillId="0" borderId="13" applyAlignment="1" pivotButton="0" quotePrefix="0" xfId="4">
      <alignment horizontal="left" vertical="center" wrapText="1"/>
    </xf>
    <xf numFmtId="165" fontId="9" fillId="0" borderId="14" applyAlignment="1" pivotButton="0" quotePrefix="0" xfId="4">
      <alignment horizontal="left" vertical="center" wrapText="1"/>
    </xf>
    <xf numFmtId="0" fontId="9" fillId="0" borderId="9" applyAlignment="1" pivotButton="0" quotePrefix="0" xfId="2">
      <alignment horizontal="left" vertical="center" wrapText="1"/>
    </xf>
    <xf numFmtId="0" fontId="9" fillId="0" borderId="16" applyAlignment="1" pivotButton="0" quotePrefix="0" xfId="2">
      <alignment horizontal="left" vertical="center" wrapText="1"/>
    </xf>
    <xf numFmtId="0" fontId="11" fillId="0" borderId="14" applyAlignment="1" pivotButton="0" quotePrefix="0" xfId="0">
      <alignment horizontal="left" vertical="center" wrapText="1"/>
    </xf>
    <xf numFmtId="165" fontId="9" fillId="0" borderId="13" applyAlignment="1" pivotButton="0" quotePrefix="0" xfId="4">
      <alignment horizontal="left" vertical="center"/>
    </xf>
    <xf numFmtId="165" fontId="9" fillId="0" borderId="14" applyAlignment="1" pivotButton="0" quotePrefix="0" xfId="4">
      <alignment horizontal="left" vertical="center"/>
    </xf>
    <xf numFmtId="0" fontId="5" fillId="0" borderId="26" applyAlignment="1" pivotButton="0" quotePrefix="0" xfId="0">
      <alignment horizontal="left" vertical="center" wrapText="1"/>
    </xf>
    <xf numFmtId="0" fontId="5" fillId="0" borderId="30" applyAlignment="1" pivotButton="0" quotePrefix="0" xfId="0">
      <alignment horizontal="left" vertical="center" wrapText="1"/>
    </xf>
    <xf numFmtId="0" fontId="5" fillId="0" borderId="32" applyAlignment="1" pivotButton="0" quotePrefix="0" xfId="0">
      <alignment horizontal="left" vertical="center" wrapText="1"/>
    </xf>
    <xf numFmtId="0" fontId="5" fillId="0" borderId="2" applyAlignment="1" pivotButton="0" quotePrefix="0" xfId="0">
      <alignment horizontal="left" vertical="center" wrapText="1"/>
    </xf>
    <xf numFmtId="0" fontId="5" fillId="0" borderId="0" applyAlignment="1" pivotButton="0" quotePrefix="0" xfId="0">
      <alignment horizontal="left" vertical="center" wrapText="1"/>
    </xf>
    <xf numFmtId="0" fontId="5" fillId="0" borderId="3" applyAlignment="1" pivotButton="0" quotePrefix="0" xfId="0">
      <alignment horizontal="left" vertical="center" wrapText="1"/>
    </xf>
    <xf numFmtId="0" fontId="5" fillId="0" borderId="13" applyAlignment="1" pivotButton="0" quotePrefix="0" xfId="0">
      <alignment horizontal="left" vertical="center"/>
    </xf>
    <xf numFmtId="0" fontId="5" fillId="0" borderId="14" applyAlignment="1" pivotButton="0" quotePrefix="0" xfId="0">
      <alignment horizontal="left" vertical="center"/>
    </xf>
    <xf numFmtId="0" fontId="9" fillId="0" borderId="9" applyAlignment="1" pivotButton="0" quotePrefix="0" xfId="2">
      <alignment horizontal="left" vertical="center"/>
    </xf>
    <xf numFmtId="0" fontId="9" fillId="0" borderId="16" applyAlignment="1" pivotButton="0" quotePrefix="0" xfId="2">
      <alignment horizontal="left" vertical="center"/>
    </xf>
    <xf numFmtId="0" fontId="11" fillId="0" borderId="50" applyAlignment="1" pivotButton="0" quotePrefix="0" xfId="0">
      <alignment horizontal="left" vertical="center"/>
    </xf>
    <xf numFmtId="0" fontId="11" fillId="0" borderId="51" applyAlignment="1" pivotButton="0" quotePrefix="0" xfId="0">
      <alignment horizontal="left" vertical="center"/>
    </xf>
    <xf numFmtId="168" fontId="5" fillId="0" borderId="31" applyAlignment="1" pivotButton="0" quotePrefix="0" xfId="0">
      <alignment horizontal="left" vertical="center"/>
    </xf>
    <xf numFmtId="169" fontId="5" fillId="0" borderId="5" applyAlignment="1" pivotButton="0" quotePrefix="0" xfId="0">
      <alignment horizontal="left" vertical="center"/>
    </xf>
    <xf numFmtId="0" fontId="5" fillId="0" borderId="62" applyAlignment="1" pivotButton="0" quotePrefix="0" xfId="0">
      <alignment horizontal="left" vertical="center" wrapText="1"/>
    </xf>
    <xf numFmtId="0" fontId="0" fillId="0" borderId="31" pivotButton="0" quotePrefix="0" xfId="0"/>
    <xf numFmtId="0" fontId="0" fillId="0" borderId="36" pivotButton="0" quotePrefix="0" xfId="0"/>
    <xf numFmtId="0" fontId="0" fillId="0" borderId="4" pivotButton="0" quotePrefix="0" xfId="0"/>
    <xf numFmtId="0" fontId="0" fillId="0" borderId="5" pivotButton="0" quotePrefix="0" xfId="0"/>
    <xf numFmtId="0" fontId="0" fillId="0" borderId="6" pivotButton="0" quotePrefix="0" xfId="0"/>
    <xf numFmtId="0" fontId="13" fillId="8" borderId="59" applyAlignment="1" pivotButton="0" quotePrefix="0" xfId="0">
      <alignment horizontal="center" vertical="center"/>
    </xf>
    <xf numFmtId="0" fontId="0" fillId="0" borderId="24" pivotButton="0" quotePrefix="0" xfId="0"/>
    <xf numFmtId="0" fontId="0" fillId="0" borderId="25" pivotButton="0" quotePrefix="0" xfId="0"/>
    <xf numFmtId="0" fontId="0" fillId="0" borderId="52" pivotButton="0" quotePrefix="0" xfId="0"/>
    <xf numFmtId="0" fontId="6" fillId="7" borderId="37" applyAlignment="1" pivotButton="0" quotePrefix="0" xfId="2">
      <alignment horizontal="center" vertical="center"/>
    </xf>
    <xf numFmtId="0" fontId="0" fillId="0" borderId="11" pivotButton="0" quotePrefix="0" xfId="0"/>
    <xf numFmtId="0" fontId="0" fillId="0" borderId="12" pivotButton="0" quotePrefix="0" xfId="0"/>
    <xf numFmtId="0" fontId="0" fillId="0" borderId="53" pivotButton="0" quotePrefix="0" xfId="0"/>
    <xf numFmtId="0" fontId="0" fillId="0" borderId="21" pivotButton="0" quotePrefix="0" xfId="0"/>
    <xf numFmtId="164" fontId="5" fillId="0" borderId="41" applyAlignment="1" pivotButton="0" quotePrefix="0" xfId="1">
      <alignment horizontal="left" vertical="center"/>
    </xf>
    <xf numFmtId="164" fontId="5" fillId="0" borderId="42" applyAlignment="1" pivotButton="0" quotePrefix="0" xfId="1">
      <alignment horizontal="left" vertical="center"/>
    </xf>
    <xf numFmtId="164" fontId="5" fillId="0" borderId="46" applyAlignment="1" pivotButton="0" quotePrefix="0" xfId="0">
      <alignment horizontal="left" vertical="center"/>
    </xf>
    <xf numFmtId="0" fontId="0" fillId="0" borderId="34" pivotButton="0" quotePrefix="0" xfId="0"/>
    <xf numFmtId="0" fontId="0" fillId="0" borderId="54" pivotButton="0" quotePrefix="0" xfId="0"/>
    <xf numFmtId="0" fontId="0" fillId="0" borderId="22" pivotButton="0" quotePrefix="0" xfId="0"/>
    <xf numFmtId="170" fontId="5" fillId="0" borderId="27" applyAlignment="1" pivotButton="0" quotePrefix="0" xfId="1">
      <alignment horizontal="left" vertical="center"/>
    </xf>
    <xf numFmtId="170" fontId="5" fillId="0" borderId="28" applyAlignment="1" pivotButton="0" quotePrefix="0" xfId="1">
      <alignment horizontal="left" vertical="center"/>
    </xf>
    <xf numFmtId="0" fontId="0" fillId="0" borderId="44" pivotButton="0" quotePrefix="0" xfId="0"/>
    <xf numFmtId="170" fontId="5" fillId="0" borderId="14" applyAlignment="1" pivotButton="0" quotePrefix="0" xfId="1">
      <alignment horizontal="left" vertical="center"/>
    </xf>
    <xf numFmtId="170" fontId="5" fillId="0" borderId="15" applyAlignment="1" pivotButton="0" quotePrefix="0" xfId="1">
      <alignment horizontal="left" vertical="center"/>
    </xf>
    <xf numFmtId="167" fontId="9" fillId="0" borderId="15" applyAlignment="1" pivotButton="0" quotePrefix="0" xfId="4">
      <alignment horizontal="right" vertical="center"/>
    </xf>
    <xf numFmtId="0" fontId="7" fillId="7" borderId="37" applyAlignment="1" pivotButton="0" quotePrefix="0" xfId="0">
      <alignment horizontal="center" vertical="center"/>
    </xf>
    <xf numFmtId="0" fontId="5" fillId="0" borderId="57" applyAlignment="1" pivotButton="0" quotePrefix="0" xfId="0">
      <alignment horizontal="left" vertical="center" wrapText="1"/>
    </xf>
    <xf numFmtId="0" fontId="0" fillId="0" borderId="30" pivotButton="0" quotePrefix="0" xfId="0"/>
    <xf numFmtId="0" fontId="0" fillId="0" borderId="32" pivotButton="0" quotePrefix="0" xfId="0"/>
    <xf numFmtId="0" fontId="0" fillId="0" borderId="61" pivotButton="0" quotePrefix="0" xfId="0"/>
    <xf numFmtId="170" fontId="5" fillId="0" borderId="42" applyAlignment="1" pivotButton="0" quotePrefix="0" xfId="1">
      <alignment horizontal="left" vertical="center"/>
    </xf>
    <xf numFmtId="0" fontId="0" fillId="0" borderId="2" pivotButton="0" quotePrefix="0" xfId="0"/>
    <xf numFmtId="0" fontId="0" fillId="0" borderId="3" pivotButton="0" quotePrefix="0" xfId="0"/>
    <xf numFmtId="0" fontId="7" fillId="0" borderId="62" applyAlignment="1" pivotButton="0" quotePrefix="0" xfId="0">
      <alignment horizontal="center" vertical="center"/>
    </xf>
    <xf numFmtId="0" fontId="0" fillId="0" borderId="45" pivotButton="0" quotePrefix="0" xfId="0"/>
    <xf numFmtId="170" fontId="5" fillId="0" borderId="41" applyAlignment="1" pivotButton="0" quotePrefix="0" xfId="1">
      <alignment horizontal="left" vertical="center"/>
    </xf>
    <xf numFmtId="167" fontId="5" fillId="0" borderId="14" applyAlignment="1" pivotButton="0" quotePrefix="0" xfId="0">
      <alignment horizontal="right" vertical="center"/>
    </xf>
    <xf numFmtId="167" fontId="5" fillId="0" borderId="15" applyAlignment="1" pivotButton="0" quotePrefix="0" xfId="0">
      <alignment horizontal="right" vertical="center"/>
    </xf>
    <xf numFmtId="171" fontId="5" fillId="0" borderId="15" applyAlignment="1" pivotButton="0" quotePrefix="0" xfId="0">
      <alignment vertical="center"/>
    </xf>
    <xf numFmtId="170" fontId="5" fillId="0" borderId="16" applyAlignment="1" pivotButton="0" quotePrefix="0" xfId="1">
      <alignment horizontal="left" vertical="center"/>
    </xf>
    <xf numFmtId="170" fontId="5" fillId="0" borderId="17" applyAlignment="1" pivotButton="0" quotePrefix="0" xfId="1">
      <alignment horizontal="left" vertical="center"/>
    </xf>
    <xf numFmtId="172" fontId="11" fillId="0" borderId="15" applyAlignment="1" pivotButton="0" quotePrefix="0" xfId="0">
      <alignment horizontal="left" vertical="center"/>
    </xf>
    <xf numFmtId="171" fontId="5" fillId="0" borderId="17" applyAlignment="1" pivotButton="0" quotePrefix="0" xfId="0">
      <alignment vertical="center"/>
    </xf>
    <xf numFmtId="164" fontId="5" fillId="0" borderId="15" applyAlignment="1" pivotButton="0" quotePrefix="0" xfId="1">
      <alignment horizontal="left" vertical="center"/>
    </xf>
    <xf numFmtId="173" fontId="12" fillId="0" borderId="15" applyAlignment="1" pivotButton="0" quotePrefix="1" xfId="1">
      <alignment horizontal="left" vertical="center"/>
    </xf>
    <xf numFmtId="0" fontId="0" fillId="0" borderId="56" pivotButton="0" quotePrefix="0" xfId="0"/>
    <xf numFmtId="174" fontId="5" fillId="0" borderId="17" applyAlignment="1" pivotButton="0" quotePrefix="0" xfId="0">
      <alignment horizontal="left" vertical="center"/>
    </xf>
    <xf numFmtId="164" fontId="0" fillId="0" borderId="29" pivotButton="0" quotePrefix="0" xfId="1"/>
    <xf numFmtId="164" fontId="0" fillId="0" borderId="0" pivotButton="0" quotePrefix="0" xfId="0"/>
    <xf numFmtId="164" fontId="0" fillId="0" borderId="0" pivotButton="0" quotePrefix="0" xfId="1"/>
  </cellXfs>
  <cellStyles count="8">
    <cellStyle name="Normal" xfId="0" builtinId="0"/>
    <cellStyle name="Currency" xfId="1" builtinId="4"/>
    <cellStyle name="Normal 2 2" xfId="2"/>
    <cellStyle name="Comma" xfId="3" builtinId="3"/>
    <cellStyle name="Comma 2 2" xfId="4"/>
    <cellStyle name="Percent" xfId="5" builtinId="5"/>
    <cellStyle name="Hyperlink" xfId="6" builtinId="8" hidden="1"/>
    <cellStyle name="Followed Hyperlink" xfId="7" builtinId="9" hidden="1"/>
  </cellStyles>
  <dxfs count="14">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ont>
        <b val="1"/>
      </font>
      <fill>
        <patternFill>
          <bgColor rgb="FFD7D7D7"/>
        </patternFill>
      </fill>
    </dxf>
    <dxf>
      <font/>
      <fill>
        <patternFill>
          <bgColor indexed="65"/>
        </patternFill>
      </fill>
    </dxf>
  </dxfs>
  <tableStyles count="1" defaultTableStyle="TableStyleMedium2" defaultPivotStyle="PivotStyleLight16">
    <tableStyle name="MySqlDefault" pivot="0" table="0" count="2">
      <tableStyleElement type="wholeTable" dxfId="13"/>
      <tableStyleElement type="headerRow" dxfId="12"/>
    </tableStyle>
  </tableStyle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6</a:t>
            </a:r>
            <a:r>
              <a:rPr lang="en-US" baseline="0"/>
              <a:t xml:space="preserve"> Month History</a:t>
            </a:r>
            <a:endParaRPr lang="en-US"/>
          </a:p>
        </rich>
      </tx>
      <overlay val="0"/>
      <spPr>
        <a:noFill xmlns:a="http://schemas.openxmlformats.org/drawingml/2006/main"/>
        <a:ln xmlns:a="http://schemas.openxmlformats.org/drawingml/2006/main">
          <a:noFill/>
          <a:prstDash val="solid"/>
        </a:ln>
      </spPr>
    </title>
    <pivotFmts>
      <pivotFmt>
        <idx val="0"/>
        <spPr>
          <a:solidFill xmlns:a="http://schemas.openxmlformats.org/drawingml/2006/main">
            <a:schemeClr val="accent1"/>
          </a:solidFill>
          <a:ln xmlns:a="http://schemas.openxmlformats.org/drawingml/2006/main" w="28575" cap="rnd">
            <a:solidFill>
              <a:schemeClr val="accent1"/>
            </a:solidFill>
            <a:prstDash val="solid"/>
            <a:round/>
          </a:ln>
        </spPr>
        <marker>
          <symbol val="none"/>
          <spPr>
            <a:ln xmlns:a="http://schemas.openxmlformats.org/drawingml/2006/main">
              <a:prstDash val="solid"/>
            </a:ln>
          </spPr>
        </marker>
      </pivotFmt>
      <pivotFmt>
        <idx val="1"/>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2"/>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3"/>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4"/>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5"/>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6"/>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7"/>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s>
    <plotArea>
      <layout/>
      <barChart>
        <barDir val="col"/>
        <grouping val="clustered"/>
        <varyColors val="0"/>
        <ser>
          <idx val="1"/>
          <order val="0"/>
          <tx>
            <strRef>
              <f>'Filtered Data'!$C$2</f>
              <strCache>
                <ptCount val="1"/>
                <pt idx="0">
                  <v>Value Traded</v>
                </pt>
              </strCache>
            </strRef>
          </tx>
          <spPr>
            <a:solidFill xmlns:a="http://schemas.openxmlformats.org/drawingml/2006/main">
              <a:schemeClr val="accent2"/>
            </a:solidFill>
            <a:ln xmlns:a="http://schemas.openxmlformats.org/drawingml/2006/main">
              <a:noFill/>
              <a:prstDash val="solid"/>
            </a:ln>
          </spPr>
          <invertIfNegative val="0"/>
          <cat>
            <numRef>
              <f>'Filtered Data'!$A$3:$A$125</f>
              <numCache>
                <formatCode>m/d/yyyy</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cat>
          <val>
            <numRef>
              <f>'Filtered Data'!$C$3:$C$125</f>
              <numCache>
                <formatCode>_("$"* #,##0.00_);_("$"* \(#,##0.00\);_("$"* "-"??_);_(@_)</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val>
        </ser>
        <dLbls>
          <showLegendKey val="0"/>
          <showVal val="0"/>
          <showCatName val="0"/>
          <showSerName val="0"/>
          <showPercent val="0"/>
          <showBubbleSize val="0"/>
        </dLbls>
        <gapWidth val="18"/>
        <axId val="1425840112"/>
        <axId val="1425841200"/>
      </barChart>
      <lineChart>
        <grouping val="standard"/>
        <varyColors val="0"/>
        <ser>
          <idx val="2"/>
          <order val="2"/>
          <tx>
            <strRef>
              <f>'Filtered Data'!$B$2</f>
              <strCache>
                <ptCount val="1"/>
                <pt idx="0">
                  <v>OHLC Average</v>
                </pt>
              </strCache>
            </strRef>
          </tx>
          <spPr>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cat>
            <numRef>
              <f>'Filtered Data'!$A$3:$A$125</f>
              <numCache>
                <formatCode>m/d/yyyy</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cat>
          <val>
            <numRef>
              <f>'Filtered Data'!$B$3:$B$125</f>
              <numCache>
                <formatCode>_("$"* #,##0.00_);_("$"* \(#,##0.00\);_("$"* "-"??_);_(@_)</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val>
          <smooth val="1"/>
        </ser>
        <dLbls>
          <showLegendKey val="0"/>
          <showVal val="0"/>
          <showCatName val="0"/>
          <showSerName val="0"/>
          <showPercent val="0"/>
          <showBubbleSize val="0"/>
        </dLbls>
        <marker val="1"/>
        <smooth val="0"/>
        <axId val="1425855888"/>
        <axId val="1425830864"/>
      </lineChart>
      <catAx>
        <axId val="1425840112"/>
        <scaling>
          <orientation val="minMax"/>
        </scaling>
        <delete val="0"/>
        <axPos val="b"/>
        <numFmt formatCode="m/d;@" sourceLinked="0"/>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580000" spcFirstLastPara="1" vertOverflow="ellipsis" wrap="square" anchor="ctr" anchorCtr="1"/>
          <a:lstStyle xmlns:a="http://schemas.openxmlformats.org/drawingml/2006/main"/>
          <a:p xmlns:a="http://schemas.openxmlformats.org/drawingml/2006/main">
            <a:pPr>
              <a:defRPr sz="1050" b="0" i="0" strike="noStrike" kern="1200" baseline="0">
                <a:solidFill>
                  <a:schemeClr val="tx1">
                    <a:lumMod val="65000"/>
                    <a:lumOff val="35000"/>
                  </a:schemeClr>
                </a:solidFill>
                <a:latin typeface="+mn-lt"/>
                <a:ea typeface="+mn-ea"/>
                <a:cs typeface="+mn-cs"/>
              </a:defRPr>
            </a:pPr>
            <a:r>
              <a:t/>
            </a:r>
            <a:endParaRPr lang="en-US"/>
          </a:p>
        </txPr>
        <crossAx val="1425841200"/>
        <crosses val="autoZero"/>
        <auto val="0"/>
        <lblAlgn val="ctr"/>
        <lblOffset val="100"/>
        <noMultiLvlLbl val="0"/>
      </catAx>
      <valAx>
        <axId val="1425841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quot;$&quot;#,##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40112"/>
        <crosses val="autoZero"/>
        <crossBetween val="between"/>
        <dispUnits>
          <builtInUnit val="thousands"/>
        </dispUnits>
      </valAx>
      <catAx>
        <axId val="1425855888"/>
        <scaling>
          <orientation val="minMax"/>
        </scaling>
        <delete val="1"/>
        <axPos val="b"/>
        <numFmt formatCode="m/d/yyyy" sourceLinked="1"/>
        <majorTickMark val="out"/>
        <minorTickMark val="none"/>
        <tickLblPos val="nextTo"/>
        <crossAx val="1425830864"/>
        <crosses val="autoZero"/>
        <auto val="0"/>
        <lblAlgn val="ctr"/>
        <lblOffset val="100"/>
        <noMultiLvlLbl val="1"/>
      </catAx>
      <valAx>
        <axId val="1425830864"/>
        <scaling>
          <orientation val="minMax"/>
        </scaling>
        <delete val="0"/>
        <axPos val="r"/>
        <numFmt formatCode="&quot;$&quot;#,##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558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30 Day History</a:t>
            </a:r>
          </a:p>
        </rich>
      </tx>
      <overlay val="0"/>
      <spPr>
        <a:noFill xmlns:a="http://schemas.openxmlformats.org/drawingml/2006/main"/>
        <a:ln xmlns:a="http://schemas.openxmlformats.org/drawingml/2006/main">
          <a:noFill/>
          <a:prstDash val="solid"/>
        </a:ln>
      </spPr>
    </title>
    <pivotFmts>
      <pivotFmt>
        <idx val="0"/>
        <spPr>
          <a:solidFill xmlns:a="http://schemas.openxmlformats.org/drawingml/2006/main">
            <a:schemeClr val="accent1"/>
          </a:solidFill>
          <a:ln xmlns:a="http://schemas.openxmlformats.org/drawingml/2006/main" w="28575" cap="rnd">
            <a:solidFill>
              <a:schemeClr val="accent1"/>
            </a:solidFill>
            <a:prstDash val="solid"/>
            <a:round/>
          </a:ln>
        </spPr>
        <marker>
          <symbol val="none"/>
          <spPr>
            <a:ln xmlns:a="http://schemas.openxmlformats.org/drawingml/2006/main">
              <a:prstDash val="solid"/>
            </a:ln>
          </spPr>
        </marker>
      </pivotFmt>
      <pivotFmt>
        <idx val="1"/>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2"/>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3"/>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4"/>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5"/>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6"/>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7"/>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s>
    <plotArea>
      <layout>
        <manualLayout>
          <layoutTarget val="inner"/>
          <xMode val="edge"/>
          <yMode val="edge"/>
          <wMode val="factor"/>
          <hMode val="factor"/>
          <x val="0.04717391735272244"/>
          <y val="0.2794321742542158"/>
          <w val="0.9140158212711743"/>
          <h val="0.6367085035108402"/>
        </manualLayout>
      </layout>
      <barChart>
        <barDir val="col"/>
        <grouping val="clustered"/>
        <varyColors val="0"/>
        <ser>
          <idx val="1"/>
          <order val="0"/>
          <tx>
            <strRef>
              <f>'Filtered Data'!$G$2</f>
              <strCache>
                <ptCount val="1"/>
                <pt idx="0">
                  <v>Value Traded</v>
                </pt>
              </strCache>
            </strRef>
          </tx>
          <spPr>
            <a:solidFill xmlns:a="http://schemas.openxmlformats.org/drawingml/2006/main">
              <a:schemeClr val="accent2"/>
            </a:solidFill>
            <a:ln xmlns:a="http://schemas.openxmlformats.org/drawingml/2006/main">
              <a:noFill/>
              <a:prstDash val="solid"/>
            </a:ln>
          </spPr>
          <invertIfNegative val="0"/>
          <cat>
            <numRef>
              <f>'Filtered Data'!$E$3:$E$24</f>
              <numCache>
                <formatCode>m/d/yyyy</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cat>
          <val>
            <numRef>
              <f>'Filtered Data'!$G$3:$G$24</f>
              <numCache>
                <formatCode>_("$"* #,##0.00_);_("$"* \(#,##0.00\);_("$"* "-"??_);_(@_)</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val>
        </ser>
        <dLbls>
          <showLegendKey val="0"/>
          <showVal val="0"/>
          <showCatName val="0"/>
          <showSerName val="0"/>
          <showPercent val="0"/>
          <showBubbleSize val="0"/>
        </dLbls>
        <gapWidth val="18"/>
        <axId val="1425833040"/>
        <axId val="1425835760"/>
      </barChart>
      <lineChart>
        <grouping val="standard"/>
        <varyColors val="0"/>
        <ser>
          <idx val="2"/>
          <order val="2"/>
          <tx>
            <strRef>
              <f>'Filtered Data'!$F$2</f>
              <strCache>
                <ptCount val="1"/>
                <pt idx="0">
                  <v>OHLC Average</v>
                </pt>
              </strCache>
            </strRef>
          </tx>
          <spPr>
            <a:ln xmlns:a="http://schemas.openxmlformats.org/drawingml/2006/main" w="28575" cap="rnd">
              <a:solidFill>
                <a:schemeClr val="accent1"/>
              </a:solidFill>
              <a:prstDash val="solid"/>
              <a:round/>
            </a:ln>
          </spPr>
          <marker>
            <symbol val="circle"/>
            <size val="5"/>
            <spPr>
              <a:solidFill xmlns:a="http://schemas.openxmlformats.org/drawingml/2006/main">
                <a:sysClr val="window" lastClr="FFFFFF"/>
              </a:solidFill>
              <a:ln xmlns:a="http://schemas.openxmlformats.org/drawingml/2006/main" w="9525">
                <a:solidFill>
                  <a:schemeClr val="accent1"/>
                </a:solidFill>
                <a:prstDash val="solid"/>
              </a:ln>
            </spPr>
          </marker>
          <cat>
            <numRef>
              <f>'Filtered Data'!$E$3:$E$24</f>
              <numCache>
                <formatCode>m/d/yyyy</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cat>
          <val>
            <numRef>
              <f>'Filtered Data'!$F$3:$F$24</f>
              <numCache>
                <formatCode>_("$"* #,##0.00_);_("$"* \(#,##0.00\);_("$"* "-"??_);_(@_)</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val>
          <smooth val="1"/>
        </ser>
        <dLbls>
          <showLegendKey val="0"/>
          <showVal val="0"/>
          <showCatName val="0"/>
          <showSerName val="0"/>
          <showPercent val="0"/>
          <showBubbleSize val="0"/>
        </dLbls>
        <marker val="1"/>
        <smooth val="0"/>
        <axId val="1425846640"/>
        <axId val="1425851536"/>
      </lineChart>
      <catAx>
        <axId val="1425833040"/>
        <scaling>
          <orientation val="minMax"/>
        </scaling>
        <delete val="0"/>
        <axPos val="b"/>
        <numFmt formatCode="m/d;@" sourceLinked="0"/>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0" spcFirstLastPara="1" vertOverflow="ellipsis" wrap="square" anchor="ctr" anchorCtr="1"/>
          <a:lstStyle xmlns:a="http://schemas.openxmlformats.org/drawingml/2006/main"/>
          <a:p xmlns:a="http://schemas.openxmlformats.org/drawingml/2006/main">
            <a:pPr>
              <a:defRPr sz="1050" b="0" i="0" strike="noStrike" kern="1200" baseline="0">
                <a:solidFill>
                  <a:schemeClr val="tx1">
                    <a:lumMod val="65000"/>
                    <a:lumOff val="35000"/>
                  </a:schemeClr>
                </a:solidFill>
                <a:latin typeface="+mn-lt"/>
                <a:ea typeface="+mn-ea"/>
                <a:cs typeface="+mn-cs"/>
              </a:defRPr>
            </a:pPr>
            <a:r>
              <a:t/>
            </a:r>
            <a:endParaRPr lang="en-US"/>
          </a:p>
        </txPr>
        <crossAx val="1425835760"/>
        <crosses val="autoZero"/>
        <auto val="0"/>
        <lblAlgn val="ctr"/>
        <lblOffset val="100"/>
        <noMultiLvlLbl val="0"/>
      </catAx>
      <valAx>
        <axId val="1425835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quot;$&quot;#,##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33040"/>
        <crosses val="autoZero"/>
        <crossBetween val="between"/>
        <dispUnits>
          <builtInUnit val="thousands"/>
        </dispUnits>
      </valAx>
      <catAx>
        <axId val="1425846640"/>
        <scaling>
          <orientation val="minMax"/>
        </scaling>
        <delete val="1"/>
        <axPos val="b"/>
        <numFmt formatCode="m/d/yyyy" sourceLinked="1"/>
        <majorTickMark val="out"/>
        <minorTickMark val="none"/>
        <tickLblPos val="nextTo"/>
        <crossAx val="1425851536"/>
        <crosses val="autoZero"/>
        <auto val="0"/>
        <lblAlgn val="ctr"/>
        <lblOffset val="100"/>
        <noMultiLvlLbl val="1"/>
      </catAx>
      <valAx>
        <axId val="1425851536"/>
        <scaling>
          <orientation val="minMax"/>
        </scaling>
        <delete val="0"/>
        <axPos val="r"/>
        <numFmt formatCode="&quot;$&quot;#,##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4664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Xiao Ru</author>
    <author>MDG</author>
  </authors>
  <commentList>
    <comment ref="B4" authorId="0" shapeId="0">
      <text>
        <t>For 1st fiscal quarter, input 1, for 2nd input 2, for 3rd input 3, for 10K input 4.</t>
      </text>
    </comment>
    <comment ref="I54" authorId="0" shapeId="0">
      <text>
        <t>you can change the name like "3 month ended" or "6 month ended" or "9 month ended"</t>
      </text>
    </comment>
    <comment ref="J54" authorId="0" shapeId="0">
      <text>
        <t>ex: if quarter used in the "Last Quarter" field is Q3 2017, then for this field input quarterly data for Q3 2016</t>
      </text>
    </comment>
    <comment ref="I60" authorId="0" shapeId="0">
      <text>
        <t>always input 3 month end data</t>
      </text>
    </comment>
    <comment ref="J60" authorId="0" shapeId="0">
      <text>
        <t xml:space="preserve">always input annual data for last year
</t>
      </text>
    </comment>
    <comment ref="O62" authorId="1" shapeId="0">
      <text>
        <t>You can change this value to see # of days traded less than that.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0</col>
      <colOff>184726</colOff>
      <row>26</row>
      <rowOff>69273</rowOff>
    </from>
    <to>
      <col>10</col>
      <colOff>0</colOff>
      <row>44</row>
      <rowOff>173181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0</colOff>
      <row>10</row>
      <rowOff>0</rowOff>
    </from>
    <to>
      <col>9</col>
      <colOff>2112819</colOff>
      <row>25</row>
      <rowOff>184727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outlinePr summaryBelow="1" summaryRight="1"/>
    <pageSetUpPr/>
  </sheetPr>
  <dimension ref="A1:A22"/>
  <sheetViews>
    <sheetView workbookViewId="0">
      <selection activeCell="A23" sqref="A23"/>
    </sheetView>
  </sheetViews>
  <sheetFormatPr baseColWidth="8" defaultColWidth="8.85546875" defaultRowHeight="15"/>
  <cols>
    <col width="116.42578125" bestFit="1" customWidth="1" style="21" min="1" max="1"/>
  </cols>
  <sheetData>
    <row r="1">
      <c r="A1" s="21" t="inlineStr">
        <is>
          <t>Make sure the company you're doing a debt sheet for hasn't been done recently (search the Drive)</t>
        </is>
      </c>
    </row>
    <row r="2">
      <c r="A2" s="21" t="inlineStr">
        <is>
          <t>1.  Go to OTCMarkets.com</t>
        </is>
      </c>
    </row>
    <row r="3">
      <c r="A3" s="21" t="inlineStr">
        <is>
          <t>2.  Type in the symbol of the company you are doing a debt sheet for, click "Get Quote"</t>
        </is>
      </c>
    </row>
    <row r="4">
      <c r="A4" s="21" t="inlineStr">
        <is>
          <t>3.  On the left side of the screen, click "Charts"</t>
        </is>
      </c>
    </row>
    <row r="5">
      <c r="A5" s="21" t="inlineStr">
        <is>
          <t>4.  Towards the bottom of the screen, click "6m"</t>
        </is>
      </c>
    </row>
    <row r="6">
      <c r="A6" s="21" t="inlineStr">
        <is>
          <t>5.  Above the graph, click "Data", then click "Save As Excel".  Save the file.</t>
        </is>
      </c>
    </row>
    <row r="7">
      <c r="A7" s="21" t="inlineStr">
        <is>
          <t>6.  Open the saved data file and copy all the data (select cell A1 and press Ctrl+Shft+Right Arrow then Ctrl+Shft+Down Arrow, then Ctrl+C)</t>
        </is>
      </c>
    </row>
    <row r="8">
      <c r="A8" s="21" t="inlineStr">
        <is>
          <t>7.  Switch to the Debt Sheet Template, open the Data tab (with cells still highlighted from your downloaded data sheet)</t>
        </is>
      </c>
    </row>
    <row r="9">
      <c r="A9" s="21" t="inlineStr">
        <is>
          <t>8.  Press the red button</t>
        </is>
      </c>
    </row>
    <row r="10">
      <c r="A10" s="21" t="inlineStr">
        <is>
          <t>9.  Select all, click on the error sign and change data to show numbers</t>
        </is>
      </c>
    </row>
    <row r="11">
      <c r="A11" s="21" t="inlineStr">
        <is>
          <t>10. Change tab name from XXX to the symbol of the company</t>
        </is>
      </c>
    </row>
    <row r="12">
      <c r="A12" s="21" t="inlineStr">
        <is>
          <t>11. Save the document as "debt sheet - Symbol"</t>
        </is>
      </c>
    </row>
    <row r="13">
      <c r="A13" s="21" t="inlineStr">
        <is>
          <t>12.  Fill out information in Yellow cells from forms 10-K and 10-Q</t>
        </is>
      </c>
    </row>
    <row r="16">
      <c r="A16" s="21" t="inlineStr">
        <is>
          <t>Companies that we like</t>
        </is>
      </c>
    </row>
    <row r="17">
      <c r="A17" s="21" t="inlineStr">
        <is>
          <t>a. Days traded less than $5,000 over the last 30 days not more than 10</t>
        </is>
      </c>
    </row>
    <row r="18">
      <c r="A18" s="21" t="inlineStr">
        <is>
          <t>b. Average dollar volume traded per day for the last 30 days not less than $10,000</t>
        </is>
      </c>
    </row>
    <row r="19">
      <c r="A19" s="21" t="inlineStr">
        <is>
          <t>c. Companies that need cash</t>
        </is>
      </c>
    </row>
    <row r="20">
      <c r="A20" s="21" t="inlineStr">
        <is>
          <t>d. Companies that have a history of issuing convertible debts</t>
        </is>
      </c>
    </row>
    <row r="21">
      <c r="A21" s="21" t="inlineStr">
        <is>
          <t>e. Companies that have outstanding convertible debts</t>
        </is>
      </c>
    </row>
    <row r="22">
      <c r="A22" s="21" t="inlineStr">
        <is>
          <t>Use your best judgement</t>
        </is>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sheetPr codeName="Sheet1">
    <outlinePr summaryBelow="1" summaryRight="1"/>
    <pageSetUpPr fitToPage="1"/>
  </sheetPr>
  <dimension ref="B1:R101"/>
  <sheetViews>
    <sheetView tabSelected="1" topLeftCell="A56" zoomScale="40" zoomScaleNormal="40" zoomScaleSheetLayoutView="50" workbookViewId="0">
      <selection activeCell="H66" sqref="G66:H66"/>
    </sheetView>
  </sheetViews>
  <sheetFormatPr baseColWidth="8" defaultColWidth="8.85546875" defaultRowHeight="17.25"/>
  <cols>
    <col width="2.7109375" customWidth="1" style="3" min="1" max="1"/>
    <col width="36.85546875" customWidth="1" style="3" min="2" max="2"/>
    <col width="17.85546875" bestFit="1" customWidth="1" style="3" min="3" max="3"/>
    <col width="15.140625" bestFit="1" customWidth="1" style="3" min="4" max="4"/>
    <col width="27.28515625" customWidth="1" style="3" min="5" max="5"/>
    <col width="4.7109375" customWidth="1" style="3" min="6" max="7"/>
    <col width="53" customWidth="1" style="3" min="8" max="8"/>
    <col width="27.7109375" customWidth="1" style="3" min="9" max="9"/>
    <col width="30.28515625" customWidth="1" style="3" min="10" max="10"/>
    <col width="4.7109375" customWidth="1" style="3" min="11" max="11"/>
    <col width="28.85546875" customWidth="1" style="3" min="12" max="13"/>
    <col width="32.85546875" bestFit="1" customWidth="1" style="3" min="14" max="14"/>
    <col width="34.42578125" bestFit="1" customWidth="1" style="3" min="15" max="16"/>
    <col width="8.85546875" customWidth="1" style="3" min="17" max="16384"/>
  </cols>
  <sheetData>
    <row r="1" ht="18" customHeight="1" thickBot="1">
      <c r="B1" s="20" t="n"/>
      <c r="C1" s="20" t="n"/>
      <c r="D1" s="20" t="n"/>
      <c r="E1" s="5" t="n"/>
    </row>
    <row r="2" ht="36.95" customHeight="1" thickBot="1">
      <c r="B2" s="23" t="inlineStr">
        <is>
          <t>APPLE INC. (AAPL)</t>
        </is>
      </c>
      <c r="C2" s="24" t="n"/>
      <c r="D2" s="24" t="n"/>
      <c r="E2" s="24" t="n"/>
      <c r="F2" s="24" t="n"/>
      <c r="G2" s="24" t="n"/>
      <c r="H2" s="147">
        <f>"Current Price: $"&amp;J78</f>
        <v/>
      </c>
      <c r="I2" s="24" t="n"/>
      <c r="J2" s="25" t="n"/>
      <c r="R2" s="3" t="inlineStr">
        <is>
          <t xml:space="preserve">TABLES AND/OR SCREENSHOTS TO HELP YOU WITH YOUR PRESENTATION I.E. CONVERTIBLE NOTE TERMS, </t>
        </is>
      </c>
    </row>
    <row r="3">
      <c r="B3" s="80" t="inlineStr">
        <is>
          <t>Latest Filing:</t>
        </is>
      </c>
      <c r="C3" s="208" t="inlineStr">
        <is>
          <t>8-K</t>
        </is>
      </c>
      <c r="D3" s="82" t="n"/>
      <c r="E3" s="82" t="n"/>
      <c r="F3" s="82" t="n"/>
      <c r="G3" s="82" t="n"/>
      <c r="H3" s="139" t="inlineStr">
        <is>
          <t>One Apple Park Way, Cupertino, CA</t>
        </is>
      </c>
      <c r="I3" s="82" t="n"/>
      <c r="J3" s="83" t="inlineStr">
        <is>
          <t>OTC Pink</t>
        </is>
      </c>
    </row>
    <row r="4">
      <c r="B4" s="78" t="inlineStr">
        <is>
          <t>10-Q Filing Period:</t>
        </is>
      </c>
      <c r="C4" s="84" t="inlineStr">
        <is>
          <t>2020-05-11</t>
        </is>
      </c>
      <c r="D4" s="84" t="n"/>
      <c r="E4" s="142" t="inlineStr">
        <is>
          <t>https://yahoo.brand.edgar-online.com/DisplayFiling.aspx?TabIndex=2&amp;dcn=0001193125-20-139112&amp;nav=1&amp;src=Yahoo</t>
        </is>
      </c>
      <c r="F4" s="84" t="n"/>
      <c r="G4" s="84" t="n"/>
      <c r="H4" s="139" t="inlineStr">
        <is>
          <t>408 996 1010</t>
        </is>
      </c>
      <c r="I4" s="84" t="n"/>
      <c r="J4" s="148" t="inlineStr">
        <is>
          <t>AAPL</t>
        </is>
      </c>
    </row>
    <row r="5" ht="18" customHeight="1" thickBot="1">
      <c r="B5" s="85" t="inlineStr">
        <is>
          <t>Fiscal Year End:</t>
        </is>
      </c>
      <c r="C5" s="209" t="inlineStr">
        <is>
          <t>09-25</t>
        </is>
      </c>
      <c r="D5" s="79" t="n"/>
      <c r="E5" s="79" t="n"/>
      <c r="F5" s="79" t="n"/>
      <c r="G5" s="79" t="n"/>
      <c r="H5" s="146" t="inlineStr">
        <is>
          <t>https://www.apple.com</t>
        </is>
      </c>
      <c r="I5" s="79" t="n"/>
      <c r="J5" s="149" t="n"/>
    </row>
    <row r="6" ht="18" customHeight="1" thickBot="1"/>
    <row r="7" ht="18" customHeight="1" thickBot="1">
      <c r="B7" s="87" t="inlineStr">
        <is>
          <t>Analyst Opinion &amp; Today's Date</t>
        </is>
      </c>
      <c r="C7" s="88" t="n"/>
      <c r="D7" s="88" t="n"/>
      <c r="E7" s="88" t="n"/>
      <c r="F7" s="88" t="n"/>
      <c r="G7" s="88" t="n"/>
      <c r="H7" s="88" t="n"/>
      <c r="I7" s="89" t="inlineStr">
        <is>
          <t>Analyst Name:</t>
        </is>
      </c>
      <c r="J7" s="90" t="n"/>
    </row>
    <row r="8">
      <c r="B8" s="210" t="n"/>
      <c r="C8" s="211" t="n"/>
      <c r="D8" s="211" t="n"/>
      <c r="E8" s="211" t="n"/>
      <c r="F8" s="211" t="n"/>
      <c r="G8" s="211" t="n"/>
      <c r="H8" s="211" t="n"/>
      <c r="I8" s="211" t="n"/>
      <c r="J8" s="212" t="n"/>
    </row>
    <row r="9" ht="18" customHeight="1" thickBot="1">
      <c r="B9" s="213" t="n"/>
      <c r="C9" s="214" t="n"/>
      <c r="D9" s="214" t="n"/>
      <c r="E9" s="214" t="n"/>
      <c r="F9" s="214" t="n"/>
      <c r="G9" s="214" t="n"/>
      <c r="H9" s="214" t="n"/>
      <c r="I9" s="214" t="n"/>
      <c r="J9" s="215" t="n"/>
    </row>
    <row r="10">
      <c r="J10" s="5" t="n"/>
    </row>
    <row r="11">
      <c r="B11" s="20" t="n"/>
      <c r="C11" s="20" t="n"/>
      <c r="D11" s="20" t="n"/>
      <c r="E11" s="5" t="n"/>
    </row>
    <row r="46" ht="18" customHeight="1" thickBot="1"/>
    <row r="47" ht="36" customFormat="1" customHeight="1" s="12" thickBot="1" thickTop="1">
      <c r="B47" s="216" t="inlineStr">
        <is>
          <t>Company Information</t>
        </is>
      </c>
      <c r="C47" s="217" t="n"/>
      <c r="D47" s="217" t="n"/>
      <c r="E47" s="218" t="n"/>
      <c r="G47" s="216" t="inlineStr">
        <is>
          <t>Fundamental Analysis</t>
        </is>
      </c>
      <c r="H47" s="217" t="n"/>
      <c r="I47" s="217" t="n"/>
      <c r="J47" s="218" t="n"/>
      <c r="L47" s="216" t="inlineStr">
        <is>
          <t>Volume Statistics</t>
        </is>
      </c>
      <c r="M47" s="217" t="n"/>
      <c r="N47" s="217" t="n"/>
      <c r="O47" s="217" t="n"/>
      <c r="P47" s="218" t="n"/>
    </row>
    <row r="48" ht="18.75" customHeight="1" thickBot="1" thickTop="1">
      <c r="B48" s="184" t="inlineStr">
        <is>
          <t>Yahoo Finance</t>
        </is>
      </c>
      <c r="C48" s="219" t="n"/>
      <c r="D48" s="219" t="n"/>
      <c r="E48" s="219" t="n"/>
      <c r="G48" s="184" t="inlineStr">
        <is>
          <t>OTC Markets</t>
        </is>
      </c>
      <c r="H48" s="219" t="n"/>
      <c r="I48" s="219" t="n"/>
      <c r="J48" s="219" t="n"/>
    </row>
    <row r="49" ht="14.45" customHeight="1">
      <c r="B49" s="220" t="inlineStr">
        <is>
          <t>Management</t>
        </is>
      </c>
      <c r="C49" s="221" t="n"/>
      <c r="D49" s="221" t="n"/>
      <c r="E49" s="222" t="n"/>
      <c r="G49" s="175" t="inlineStr">
        <is>
          <t>Burn Rate</t>
        </is>
      </c>
      <c r="H49" s="221" t="n"/>
      <c r="I49" s="176" t="inlineStr">
        <is>
          <t>Last Quarter This year</t>
        </is>
      </c>
      <c r="J49" s="177" t="inlineStr">
        <is>
          <t>3 Quarters Ago</t>
        </is>
      </c>
      <c r="L49" s="172" t="inlineStr">
        <is>
          <t>Volume Stats</t>
        </is>
      </c>
      <c r="M49" s="36" t="n"/>
      <c r="N49" s="36" t="n"/>
      <c r="O49" s="36" t="n"/>
      <c r="P49" s="174" t="inlineStr">
        <is>
          <t>Value</t>
        </is>
      </c>
    </row>
    <row r="50" ht="14.45" customHeight="1">
      <c r="B50" s="108" t="inlineStr">
        <is>
          <t>Mr. Timothy D. Cook</t>
        </is>
      </c>
      <c r="C50" s="170" t="inlineStr">
        <is>
          <t>CEO &amp; Director</t>
        </is>
      </c>
      <c r="D50" s="223" t="n"/>
      <c r="E50" s="224" t="n"/>
      <c r="G50" s="69" t="inlineStr">
        <is>
          <t>CF Change</t>
        </is>
      </c>
      <c r="H50" s="70" t="n"/>
      <c r="I50" s="225">
        <f>SUM(I67:I69)</f>
        <v/>
      </c>
      <c r="J50" s="226">
        <f>SUM(J67:J69)</f>
        <v/>
      </c>
      <c r="L50" s="189" t="inlineStr">
        <is>
          <t>AVG per day for latest 30 trading days</t>
        </is>
      </c>
      <c r="M50" s="223" t="n"/>
      <c r="N50" s="223" t="n"/>
      <c r="O50" s="224" t="n"/>
      <c r="P50" s="124">
        <f>AVERAGE(INDEX(Data!F:F,MATCH(BIGNUM,Data!F:F)-30+1):INDEX(Data!F:F,MATCH(BIGNUM,Data!F:F)))</f>
        <v/>
      </c>
    </row>
    <row r="51" ht="14.45" customHeight="1">
      <c r="B51" s="108" t="inlineStr">
        <is>
          <t>Mr. Luca  Maestri</t>
        </is>
      </c>
      <c r="C51" s="193" t="inlineStr">
        <is>
          <t>CFO &amp; Sr. VP</t>
        </is>
      </c>
      <c r="D51" s="223" t="n"/>
      <c r="E51" s="224" t="n"/>
      <c r="G51" s="69" t="inlineStr">
        <is>
          <t>Burn Rate</t>
        </is>
      </c>
      <c r="H51" s="70" t="n"/>
      <c r="I51" s="227">
        <f>IF($C$4=1,$I$50/3,IF($C$4=2,$I$50/6,IF($C$4=3,$I$50/9,$I$50/12)))</f>
        <v/>
      </c>
      <c r="J51" s="227">
        <f>IF($C$4=1,$J$50/3,IF($C$4=2,$J$50/6,IF($C$4=3,$J$50/9,$J$50/12)))</f>
        <v/>
      </c>
      <c r="L51" s="189" t="inlineStr">
        <is>
          <t>AVG per day for latest 60 trading days</t>
        </is>
      </c>
      <c r="M51" s="223" t="n"/>
      <c r="N51" s="223" t="n"/>
      <c r="O51" s="224" t="n"/>
      <c r="P51" s="124">
        <f>AVERAGE(INDEX(Data!F:F,MATCH(BIGNUM,Data!F:F)-60+1):INDEX(Data!F:F,MATCH(BIGNUM,Data!F:F)))</f>
        <v/>
      </c>
    </row>
    <row r="52" ht="14.45" customHeight="1" thickBot="1">
      <c r="B52" s="112" t="inlineStr">
        <is>
          <t>Mr. Jeffrey E. Williams</t>
        </is>
      </c>
      <c r="C52" s="170" t="inlineStr">
        <is>
          <t>Chief Operating Officer</t>
        </is>
      </c>
      <c r="D52" s="223" t="n"/>
      <c r="E52" s="224" t="n"/>
      <c r="G52" s="71" t="inlineStr">
        <is>
          <t>Remaining Cash (days)</t>
        </is>
      </c>
      <c r="H52" s="72" t="n"/>
      <c r="I52" s="136">
        <f>IF((($I$55/(-$I$51))*30.4167)&gt;0,(($I$55/(-$I$51))*30.4167), "Infinite")</f>
        <v/>
      </c>
      <c r="J52" s="137">
        <f>IF((($J$55/(-$J$51))*30.4167)&gt;0,(($J$55/(-$J$51))*30.4167), "Infinite")</f>
        <v/>
      </c>
      <c r="L52" s="189" t="inlineStr">
        <is>
          <t>AVG per day for latest 90 trading days</t>
        </is>
      </c>
      <c r="M52" s="223" t="n"/>
      <c r="N52" s="223" t="n"/>
      <c r="O52" s="224" t="n"/>
      <c r="P52" s="124">
        <f>AVERAGE(INDEX(Data!F:F,MATCH(BIGNUM,Data!F:F)-90+1):INDEX(Data!F:F,MATCH(BIGNUM,Data!F:F)))</f>
        <v/>
      </c>
    </row>
    <row r="53" ht="14.45" customHeight="1" thickBot="1">
      <c r="B53" s="108" t="inlineStr">
        <is>
          <t>Ms. Katherine L. Adams</t>
        </is>
      </c>
      <c r="C53" s="170" t="inlineStr">
        <is>
          <t>Sr. VP, Gen. Counsel &amp; Sec.</t>
        </is>
      </c>
      <c r="D53" s="223" t="n"/>
      <c r="E53" s="224" t="n"/>
      <c r="L53" s="189" t="inlineStr">
        <is>
          <t>Minimum volume for latest 30 trading days</t>
        </is>
      </c>
      <c r="M53" s="223" t="n"/>
      <c r="N53" s="223" t="n"/>
      <c r="O53" s="224" t="n"/>
      <c r="P53" s="124">
        <f>MIN(INDEX(Data!F:F,MATCH(BIGNUM,Data!F:F)-30+1):INDEX(Data!F:F,MATCH(BIGNUM,Data!F:F)))</f>
        <v/>
      </c>
    </row>
    <row r="54" ht="14.45" customHeight="1" thickBot="1">
      <c r="B54" s="108" t="inlineStr">
        <is>
          <t>Ms. Deirdre  O'Brien</t>
        </is>
      </c>
      <c r="C54" s="170" t="inlineStr">
        <is>
          <t>Sr. VP of People &amp; Retail</t>
        </is>
      </c>
      <c r="D54" s="223" t="n"/>
      <c r="E54" s="224" t="n"/>
      <c r="G54" s="178" t="inlineStr">
        <is>
          <t>Fundamental</t>
        </is>
      </c>
      <c r="H54" s="228" t="n"/>
      <c r="I54" s="176" t="inlineStr">
        <is>
          <t xml:space="preserve"> Last Quarter</t>
        </is>
      </c>
      <c r="J54" s="177" t="inlineStr">
        <is>
          <t>3 Quarters Ago</t>
        </is>
      </c>
      <c r="L54" s="191" t="inlineStr">
        <is>
          <t>Maximum volume for latest 30 trading days</t>
        </is>
      </c>
      <c r="M54" s="229" t="n"/>
      <c r="N54" s="229" t="n"/>
      <c r="O54" s="230" t="n"/>
      <c r="P54" s="125">
        <f>MAX(INDEX(Data!F:F,MATCH(BIGNUM,Data!F:F)-30+1):INDEX(Data!F:F,MATCH(BIGNUM,Data!F:F)))</f>
        <v/>
      </c>
    </row>
    <row r="55" ht="14.45" customHeight="1" thickBot="1">
      <c r="B55" s="108" t="inlineStr">
        <is>
          <t>Mr. Chris  Kondo</t>
        </is>
      </c>
      <c r="C55" s="170" t="inlineStr">
        <is>
          <t>Sr. Director of Corp. Accounting</t>
        </is>
      </c>
      <c r="D55" s="223" t="n"/>
      <c r="E55" s="224" t="n"/>
      <c r="G55" s="158" t="inlineStr">
        <is>
          <t>BS</t>
        </is>
      </c>
      <c r="H55" s="73" t="inlineStr">
        <is>
          <t>Cash</t>
        </is>
      </c>
      <c r="I55" s="231" t="n">
        <v>28098000</v>
      </c>
      <c r="J55" s="232" t="n">
        <v>34050000</v>
      </c>
      <c r="L55" s="6" t="n"/>
      <c r="M55" s="6" t="n"/>
      <c r="N55" s="6" t="n"/>
      <c r="O55" s="7" t="n"/>
      <c r="P55" s="8" t="n"/>
    </row>
    <row r="56" ht="14.45" customHeight="1" thickBot="1">
      <c r="B56" s="109" t="inlineStr">
        <is>
          <t>Mr. James  Wilson</t>
        </is>
      </c>
      <c r="C56" s="182" t="inlineStr">
        <is>
          <t>Chief Technology Officer</t>
        </is>
      </c>
      <c r="D56" s="229" t="n"/>
      <c r="E56" s="230" t="n"/>
      <c r="G56" s="233" t="n"/>
      <c r="H56" s="74" t="inlineStr">
        <is>
          <t>Current Asset</t>
        </is>
      </c>
      <c r="I56" s="234" t="n">
        <v>118180000</v>
      </c>
      <c r="J56" s="235" t="n">
        <v>114423000</v>
      </c>
      <c r="L56" s="33" t="inlineStr">
        <is>
          <t>Value Stats (US$)</t>
        </is>
      </c>
      <c r="M56" s="37" t="n"/>
      <c r="N56" s="37" t="n"/>
      <c r="O56" s="37" t="n"/>
      <c r="P56" s="14" t="inlineStr">
        <is>
          <t>Value</t>
        </is>
      </c>
    </row>
    <row r="57" ht="14.45" customHeight="1" thickBot="1">
      <c r="G57" s="233" t="n"/>
      <c r="H57" s="74" t="inlineStr">
        <is>
          <t>Current Liability</t>
        </is>
      </c>
      <c r="I57" s="234" t="n">
        <v>127508000</v>
      </c>
      <c r="J57" s="235" t="n">
        <v>107754000</v>
      </c>
      <c r="L57" s="189" t="inlineStr">
        <is>
          <t>AVG per day for latest 30 trading days</t>
        </is>
      </c>
      <c r="M57" s="223" t="n"/>
      <c r="N57" s="223" t="n"/>
      <c r="O57" s="224" t="n"/>
      <c r="P57" s="236">
        <f>AVERAGE(INDEX(Data!I:I,MATCH(BIGNUM,Data!I:I)-30+1):INDEX(Data!I:I,MATCH(BIGNUM,Data!I:I)))</f>
        <v/>
      </c>
    </row>
    <row r="58" ht="14.45" customHeight="1">
      <c r="B58" s="237" t="inlineStr">
        <is>
          <t>Company Description</t>
        </is>
      </c>
      <c r="C58" s="221" t="n"/>
      <c r="D58" s="221" t="n"/>
      <c r="E58" s="222" t="n"/>
      <c r="G58" s="233" t="n"/>
      <c r="H58" s="74" t="inlineStr">
        <is>
          <t>Working Capital</t>
        </is>
      </c>
      <c r="I58" s="234">
        <f>$I$56-$I$57</f>
        <v/>
      </c>
      <c r="J58" s="235">
        <f>$J$56-$J$57</f>
        <v/>
      </c>
      <c r="L58" s="189" t="inlineStr">
        <is>
          <t>AVG per day for latest 60 trading days</t>
        </is>
      </c>
      <c r="M58" s="223" t="n"/>
      <c r="N58" s="223" t="n"/>
      <c r="O58" s="224" t="n"/>
      <c r="P58" s="236">
        <f>AVERAGE(INDEX(Data!I:I,MATCH(BIGNUM,Data!I:I)-60+1):INDEX(Data!I:I,MATCH(BIGNUM,Data!I:I)))</f>
        <v/>
      </c>
    </row>
    <row r="59" ht="14.45" customHeight="1" thickBot="1">
      <c r="B59" s="238"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C59" s="239" t="n"/>
      <c r="D59" s="239" t="n"/>
      <c r="E59" s="240" t="n"/>
      <c r="G59" s="241" t="n"/>
      <c r="H59" s="75" t="inlineStr">
        <is>
          <t>Retained Earnings</t>
        </is>
      </c>
      <c r="I59" s="234" t="n">
        <v>12712000</v>
      </c>
      <c r="J59" s="242" t="n">
        <v>9233000</v>
      </c>
      <c r="L59" s="189" t="inlineStr">
        <is>
          <t>AVG per day for latest 90 trading days</t>
        </is>
      </c>
      <c r="M59" s="223" t="n"/>
      <c r="N59" s="223" t="n"/>
      <c r="O59" s="224" t="n"/>
      <c r="P59" s="236">
        <f>AVERAGE(INDEX(Data!I:I,MATCH(BIGNUM,Data!I:I)-90+1):INDEX(Data!I:I,MATCH(BIGNUM,Data!I:I)))</f>
        <v/>
      </c>
    </row>
    <row r="60" ht="14.45" customHeight="1" thickBot="1">
      <c r="B60" s="243" t="n"/>
      <c r="E60" s="244" t="n"/>
      <c r="G60" s="178" t="n"/>
      <c r="H60" s="228" t="n"/>
      <c r="I60" s="176" t="inlineStr">
        <is>
          <t>Last Quarter</t>
        </is>
      </c>
      <c r="J60" s="26" t="inlineStr">
        <is>
          <t>Last Year (Annual)</t>
        </is>
      </c>
      <c r="L60" s="194" t="inlineStr">
        <is>
          <t>Minimum value for latest 30 trading days</t>
        </is>
      </c>
      <c r="M60" s="223" t="n"/>
      <c r="N60" s="223" t="n"/>
      <c r="O60" s="224" t="n"/>
      <c r="P60" s="236">
        <f>MIN(INDEX(Data!I:I,MATCH(BIGNUM,Data!I:I)-30+1):INDEX(Data!I:I,MATCH(BIGNUM,Data!I:I)))</f>
        <v/>
      </c>
    </row>
    <row r="61" ht="14.45" customHeight="1">
      <c r="B61" s="243" t="n"/>
      <c r="E61" s="244" t="n"/>
      <c r="G61" s="245" t="inlineStr">
        <is>
          <t>IS</t>
        </is>
      </c>
      <c r="H61" s="73" t="inlineStr">
        <is>
          <t>Revenue</t>
        </is>
      </c>
      <c r="I61" s="231" t="n">
        <v>97278000</v>
      </c>
      <c r="J61" s="232" t="n">
        <v>365817000</v>
      </c>
      <c r="L61" s="194" t="inlineStr">
        <is>
          <t>Maximum value for latest 30 trading days</t>
        </is>
      </c>
      <c r="M61" s="223" t="n"/>
      <c r="N61" s="223" t="n"/>
      <c r="O61" s="224" t="n"/>
      <c r="P61" s="236">
        <f>MAX(INDEX(Data!I:I,MATCH(BIGNUM,Data!I:I)-30+1):INDEX(Data!I:I,MATCH(BIGNUM,Data!I:I)))</f>
        <v/>
      </c>
    </row>
    <row r="62" ht="14.45" customHeight="1" thickBot="1">
      <c r="B62" s="243" t="n"/>
      <c r="E62" s="244" t="n"/>
      <c r="G62" s="233" t="n"/>
      <c r="H62" s="74" t="inlineStr">
        <is>
          <t>COGS</t>
        </is>
      </c>
      <c r="I62" s="234" t="n">
        <v>54719000</v>
      </c>
      <c r="J62" s="235" t="n">
        <v>212981000</v>
      </c>
      <c r="L62" s="185">
        <f>"Days traded less than $"&amp;$K$58&amp;" over the last 30 days"</f>
        <v/>
      </c>
      <c r="M62" s="229" t="n"/>
      <c r="N62" s="230" t="n"/>
      <c r="O62" s="127" t="n">
        <v>5000</v>
      </c>
      <c r="P62" s="128">
        <f>COUNTIF(INDEX(Data!I:I,MATCH(BIGNUM,Data!I:I)-30+1):INDEX(Data!I:I,MATCH(BIGNUM,Data!I:I)),"&lt;"&amp;O62)</f>
        <v/>
      </c>
    </row>
    <row r="63" ht="14.45" customHeight="1" thickBot="1">
      <c r="B63" s="243" t="n"/>
      <c r="E63" s="244" t="n"/>
      <c r="G63" s="233" t="n"/>
      <c r="H63" s="74" t="inlineStr">
        <is>
          <t>Gross Profit</t>
        </is>
      </c>
      <c r="I63" s="234">
        <f>$I$61-$I$62</f>
        <v/>
      </c>
      <c r="J63" s="235">
        <f>$J$61-$J$62</f>
        <v/>
      </c>
      <c r="L63" s="6" t="n"/>
      <c r="M63" s="6" t="n"/>
      <c r="N63" s="6" t="n"/>
      <c r="O63" s="7" t="n"/>
      <c r="P63" s="8" t="n"/>
    </row>
    <row r="64" ht="14.45" customHeight="1">
      <c r="B64" s="243" t="n"/>
      <c r="E64" s="244" t="n"/>
      <c r="G64" s="233" t="n"/>
      <c r="H64" s="74" t="inlineStr">
        <is>
          <t>Gross Margin</t>
        </is>
      </c>
      <c r="I64" s="104">
        <f>IFERROR($I$63/$I$61,"")</f>
        <v/>
      </c>
      <c r="J64" s="76">
        <f>IFERROR($J$63/$J$61,"")</f>
        <v/>
      </c>
      <c r="L64" s="172" t="inlineStr">
        <is>
          <t>Based on last</t>
        </is>
      </c>
      <c r="M64" s="36" t="n"/>
      <c r="N64" s="38" t="n"/>
      <c r="O64" s="36" t="n"/>
      <c r="P64" s="39" t="n"/>
    </row>
    <row r="65" ht="14.45" customHeight="1" thickBot="1">
      <c r="B65" s="213" t="n"/>
      <c r="C65" s="214" t="n"/>
      <c r="D65" s="214" t="n"/>
      <c r="E65" s="215" t="n"/>
      <c r="G65" s="246" t="n"/>
      <c r="H65" s="75" t="inlineStr">
        <is>
          <t>Net income</t>
        </is>
      </c>
      <c r="I65" s="247" t="n">
        <v>25010000</v>
      </c>
      <c r="J65" s="242" t="n">
        <v>94680000</v>
      </c>
      <c r="L65" s="129" t="inlineStr">
        <is>
          <t>% of Volume</t>
        </is>
      </c>
      <c r="M65" s="130" t="n"/>
      <c r="N65" s="41" t="n">
        <v>30</v>
      </c>
      <c r="O65" s="41" t="n">
        <v>60</v>
      </c>
      <c r="P65" s="42" t="n">
        <v>90</v>
      </c>
    </row>
    <row r="66" ht="14.45" customHeight="1" thickBot="1">
      <c r="G66" s="180" t="n"/>
      <c r="H66" s="228" t="n"/>
      <c r="I66" s="176" t="inlineStr">
        <is>
          <t>Last Quarter</t>
        </is>
      </c>
      <c r="J66" s="177" t="inlineStr">
        <is>
          <t>3 Quarters Ago</t>
        </is>
      </c>
      <c r="L66" s="131" t="n">
        <v>0.3</v>
      </c>
      <c r="M66" s="132" t="n"/>
      <c r="N66" s="248">
        <f>$L66*$P$57</f>
        <v/>
      </c>
      <c r="O66" s="248">
        <f>$L66*$P$58</f>
        <v/>
      </c>
      <c r="P66" s="249">
        <f>$L66*$P$59</f>
        <v/>
      </c>
    </row>
    <row r="67" ht="14.45" customHeight="1" thickBot="1">
      <c r="B67" s="27" t="inlineStr">
        <is>
          <t>Major Shareholders</t>
        </is>
      </c>
      <c r="C67" s="28" t="inlineStr">
        <is>
          <t>Institution Type</t>
        </is>
      </c>
      <c r="D67" s="28" t="inlineStr">
        <is>
          <t>Holding as of</t>
        </is>
      </c>
      <c r="E67" s="29" t="inlineStr">
        <is>
          <t>% Held</t>
        </is>
      </c>
      <c r="G67" s="245" t="inlineStr">
        <is>
          <t>CF</t>
        </is>
      </c>
      <c r="H67" s="73" t="inlineStr">
        <is>
          <t>CF from Ops</t>
        </is>
      </c>
      <c r="I67" s="231" t="n">
        <v>28166000</v>
      </c>
      <c r="J67" s="232" t="n">
        <v>21094000</v>
      </c>
      <c r="L67" s="55" t="n">
        <v>100000</v>
      </c>
      <c r="M67" s="133" t="n"/>
      <c r="N67" s="46">
        <f>ROUND(($L67/N$66),1)&amp;" Trading Days, "&amp;ROUND(($L67/N$66)/20,1)&amp;" Months"</f>
        <v/>
      </c>
      <c r="O67" s="46">
        <f>ROUND(($L67/O$66),1)&amp;" Trading Days, "&amp;ROUND(($L67/O$66)/20,1)&amp;" Months"</f>
        <v/>
      </c>
      <c r="P67" s="47">
        <f>ROUND(($L67/P$66),1)&amp;" Trading Days, "&amp;ROUND(($L67/P$66)/20,1)&amp;" Months"</f>
        <v/>
      </c>
    </row>
    <row r="68" ht="14.45" customHeight="1" thickBot="1">
      <c r="B68" s="110" t="inlineStr">
        <is>
          <t>Vanguard Group, Inc. (The)</t>
        </is>
      </c>
      <c r="C68" s="111" t="inlineStr">
        <is>
          <t>institution</t>
        </is>
      </c>
      <c r="D68" s="151" t="n">
        <v>43098</v>
      </c>
      <c r="E68" s="250" t="n">
        <v>0.0779</v>
      </c>
      <c r="G68" s="233" t="n"/>
      <c r="H68" s="74" t="inlineStr">
        <is>
          <t>CF from Inv</t>
        </is>
      </c>
      <c r="I68" s="234" t="n">
        <v>-9265000</v>
      </c>
      <c r="J68" s="235" t="n">
        <v>3572000</v>
      </c>
      <c r="L68" s="55" t="n">
        <v>50000</v>
      </c>
      <c r="M68" s="133" t="n"/>
      <c r="N68" s="46">
        <f>ROUND(($L68/N$66),1)&amp;" Trading Days, "&amp;ROUND(($L68/N$66)/20,1)&amp;" Months"</f>
        <v/>
      </c>
      <c r="O68" s="46">
        <f>ROUND(($L68/O$66),1)&amp;" Trading Days, "&amp;ROUND(($L68/O$66)/20,1)&amp;" Months"</f>
        <v/>
      </c>
      <c r="P68" s="47">
        <f>ROUND(($L68/P$66),1)&amp;" Trading Days, "&amp;ROUND(($L68/P$66)/20,1)&amp;" Months"</f>
        <v/>
      </c>
    </row>
    <row r="69" ht="14.45" customHeight="1" thickBot="1">
      <c r="B69" s="112" t="inlineStr">
        <is>
          <t>Blackrock Inc.</t>
        </is>
      </c>
      <c r="C69" s="113" t="inlineStr">
        <is>
          <t>institution</t>
        </is>
      </c>
      <c r="D69" s="151" t="n">
        <v>43188</v>
      </c>
      <c r="E69" s="250" t="n">
        <v>0.0635</v>
      </c>
      <c r="G69" s="246" t="n"/>
      <c r="H69" s="77" t="inlineStr">
        <is>
          <t>CF from Fin</t>
        </is>
      </c>
      <c r="I69" s="251" t="n">
        <v>-28351000</v>
      </c>
      <c r="J69" s="252" t="n">
        <v>-29396000</v>
      </c>
      <c r="L69" s="56" t="n">
        <v>25000</v>
      </c>
      <c r="M69" s="134" t="n"/>
      <c r="N69" s="49">
        <f>ROUND(($L69/N$66),1)&amp;" Trading Days, "&amp;ROUND(($L69/N$66)/20,1)&amp;" Months"</f>
        <v/>
      </c>
      <c r="O69" s="49">
        <f>ROUND(($L69/O$66),1)&amp;" Trading Days, "&amp;ROUND(($L69/O$66)/20,1)&amp;" Months"</f>
        <v/>
      </c>
      <c r="P69" s="50">
        <f>ROUND(($L69/P$66),1)&amp;" Trading Days, "&amp;ROUND(($L69/P$66)/20,1)&amp;" Months"</f>
        <v/>
      </c>
    </row>
    <row r="70" ht="14.45" customHeight="1" thickBot="1">
      <c r="B70" s="112" t="inlineStr">
        <is>
          <t>Berkshire Hathaway, Inc</t>
        </is>
      </c>
      <c r="C70" s="113" t="inlineStr">
        <is>
          <t>institution</t>
        </is>
      </c>
      <c r="D70" s="152" t="n">
        <v>43098</v>
      </c>
      <c r="E70" s="250" t="n">
        <v>0.0548</v>
      </c>
      <c r="L70" s="4" t="n"/>
      <c r="M70" s="4" t="n"/>
      <c r="N70" s="5" t="n"/>
      <c r="O70" s="5" t="n"/>
      <c r="P70" s="5" t="n"/>
    </row>
    <row r="71" ht="14.45" customHeight="1">
      <c r="B71" s="112" t="inlineStr">
        <is>
          <t>State Street Corporation</t>
        </is>
      </c>
      <c r="C71" s="113" t="inlineStr">
        <is>
          <t>institution</t>
        </is>
      </c>
      <c r="D71" s="152" t="n">
        <v>43098</v>
      </c>
      <c r="E71" s="250" t="n">
        <v>0.0391</v>
      </c>
      <c r="G71" s="172" t="inlineStr">
        <is>
          <t>Share Information</t>
        </is>
      </c>
      <c r="H71" s="221" t="n"/>
      <c r="I71" s="221" t="n"/>
      <c r="J71" s="174" t="inlineStr">
        <is>
          <t>Value</t>
        </is>
      </c>
      <c r="L71" s="172" t="inlineStr">
        <is>
          <t>Based on last</t>
        </is>
      </c>
      <c r="M71" s="36" t="n"/>
      <c r="N71" s="51" t="n"/>
      <c r="O71" s="52" t="n"/>
      <c r="P71" s="53" t="n"/>
    </row>
    <row r="72" ht="14.45" customHeight="1">
      <c r="B72" s="112" t="inlineStr">
        <is>
          <t>Vanguard Total Stock Market Index Fund</t>
        </is>
      </c>
      <c r="C72" s="113" t="inlineStr">
        <is>
          <t>mutual fund</t>
        </is>
      </c>
      <c r="D72" s="152" t="n">
        <v>43098</v>
      </c>
      <c r="E72" s="250" t="n">
        <v>0.0274</v>
      </c>
      <c r="G72" s="187" t="inlineStr">
        <is>
          <t>Shares Authorized</t>
        </is>
      </c>
      <c r="H72" s="223" t="n"/>
      <c r="I72" s="224" t="n"/>
      <c r="J72" s="140" t="n"/>
      <c r="L72" s="34" t="inlineStr">
        <is>
          <t>% of Volume</t>
        </is>
      </c>
      <c r="M72" s="40" t="n"/>
      <c r="N72" s="41" t="n">
        <v>30</v>
      </c>
      <c r="O72" s="41" t="n">
        <v>60</v>
      </c>
      <c r="P72" s="42" t="n">
        <v>90</v>
      </c>
    </row>
    <row r="73" ht="14.45" customHeight="1">
      <c r="B73" s="112" t="inlineStr">
        <is>
          <t>FMR, LLC</t>
        </is>
      </c>
      <c r="C73" s="113" t="inlineStr">
        <is>
          <t>institution</t>
        </is>
      </c>
      <c r="D73" s="152" t="n">
        <v>43098</v>
      </c>
      <c r="E73" s="250" t="n">
        <v>0.0218</v>
      </c>
      <c r="G73" s="187" t="inlineStr">
        <is>
          <t>Shares Issued</t>
        </is>
      </c>
      <c r="H73" s="223" t="n"/>
      <c r="I73" s="224" t="n"/>
      <c r="J73" s="140" t="n">
        <v>16406400000</v>
      </c>
      <c r="L73" s="54" t="n">
        <v>0.2</v>
      </c>
      <c r="M73" s="43" t="n"/>
      <c r="N73" s="248">
        <f>$L73*$P$57</f>
        <v/>
      </c>
      <c r="O73" s="248">
        <f>$L73*$P$58</f>
        <v/>
      </c>
      <c r="P73" s="249">
        <f>$L73*$P$59</f>
        <v/>
      </c>
    </row>
    <row r="74" ht="14.45" customHeight="1">
      <c r="B74" s="112" t="inlineStr">
        <is>
          <t>Vanguard 500 Index Fund</t>
        </is>
      </c>
      <c r="C74" s="113" t="inlineStr">
        <is>
          <t>mutual fund</t>
        </is>
      </c>
      <c r="D74" s="152" t="n">
        <v>43098</v>
      </c>
      <c r="E74" s="250" t="n">
        <v>0.0204</v>
      </c>
      <c r="G74" s="187" t="inlineStr">
        <is>
          <t>Shares Outstanding</t>
        </is>
      </c>
      <c r="H74" s="223" t="n"/>
      <c r="I74" s="224" t="n"/>
      <c r="J74" s="140" t="n">
        <v>16406400000</v>
      </c>
      <c r="L74" s="55" t="n">
        <v>100000</v>
      </c>
      <c r="M74" s="45" t="n"/>
      <c r="N74" s="46">
        <f>ROUND(($L74/N$73),1)&amp;" Trading Days, "&amp;ROUND(($L74/N$73)/20,1)&amp;" Months"</f>
        <v/>
      </c>
      <c r="O74" s="46">
        <f>ROUND(($L74/O$73),1)&amp;" Trading Days, "&amp;ROUND(($L74/O$73)/20,1)&amp;" Months"</f>
        <v/>
      </c>
      <c r="P74" s="47">
        <f>ROUND(($L74/P$73),1)&amp;" Trading Days, "&amp;ROUND(($L74/P$73)/20,1)&amp;" Months"</f>
        <v/>
      </c>
    </row>
    <row r="75" ht="14.45" customHeight="1">
      <c r="B75" s="112" t="inlineStr">
        <is>
          <t>Geode Capital Management, LLC</t>
        </is>
      </c>
      <c r="C75" s="113" t="inlineStr">
        <is>
          <t>institution</t>
        </is>
      </c>
      <c r="D75" s="152" t="n">
        <v>43098</v>
      </c>
      <c r="E75" s="250" t="n">
        <v>0.0163</v>
      </c>
      <c r="G75" s="187" t="inlineStr">
        <is>
          <t>Par Value</t>
        </is>
      </c>
      <c r="H75" s="223" t="n"/>
      <c r="I75" s="224" t="n"/>
      <c r="J75" s="253" t="n"/>
      <c r="L75" s="55" t="n">
        <v>50000</v>
      </c>
      <c r="M75" s="45" t="n"/>
      <c r="N75" s="46">
        <f>ROUND(($L75/N$73),1)&amp;" Trading Days, "&amp;ROUND(($L75/N$73)/20,1)&amp;" Months"</f>
        <v/>
      </c>
      <c r="O75" s="46">
        <f>ROUND(($L75/O$73),1)&amp;" Trading Days, "&amp;ROUND(($L75/O$73)/20,1)&amp;" Months"</f>
        <v/>
      </c>
      <c r="P75" s="47">
        <f>ROUND(($L75/P$73),1)&amp;" Trading Days, "&amp;ROUND(($L75/P$73)/20,1)&amp;" Months"</f>
        <v/>
      </c>
    </row>
    <row r="76" ht="14.45" customHeight="1" thickBot="1">
      <c r="B76" s="112" t="inlineStr">
        <is>
          <t>Price (T.Rowe) Associates Inc</t>
        </is>
      </c>
      <c r="C76" s="113" t="inlineStr">
        <is>
          <t>institution</t>
        </is>
      </c>
      <c r="D76" s="152" t="n">
        <v>43098</v>
      </c>
      <c r="E76" s="250" t="n">
        <v>0.0138</v>
      </c>
      <c r="G76" s="202" t="inlineStr">
        <is>
          <t xml:space="preserve">4.99% of outstanding </t>
        </is>
      </c>
      <c r="H76" s="223" t="n"/>
      <c r="I76" s="224" t="n"/>
      <c r="J76" s="119">
        <f>$J$73*0.0499</f>
        <v/>
      </c>
      <c r="L76" s="56" t="n">
        <v>25000</v>
      </c>
      <c r="M76" s="48" t="n"/>
      <c r="N76" s="49">
        <f>ROUND(($L76/N$73),1)&amp;" Trading Days, "&amp;ROUND(($L76/N$73)/20,1)&amp;" Months"</f>
        <v/>
      </c>
      <c r="O76" s="49">
        <f>ROUND(($L76/O$73),1)&amp;" Trading Days, "&amp;ROUND(($L76/O$73)/20,1)&amp;" Months"</f>
        <v/>
      </c>
      <c r="P76" s="50">
        <f>ROUND(($L76/P$73),1)&amp;" Trading Days, "&amp;ROUND(($L76/P$73)/20,1)&amp;" Months"</f>
        <v/>
      </c>
    </row>
    <row r="77" ht="14.45" customHeight="1" thickBot="1">
      <c r="B77" s="115" t="inlineStr">
        <is>
          <t>Northern Trust Corporation</t>
        </is>
      </c>
      <c r="C77" s="116" t="inlineStr">
        <is>
          <t>institution</t>
        </is>
      </c>
      <c r="D77" s="153" t="n">
        <v>43098</v>
      </c>
      <c r="E77" s="254" t="n">
        <v>0.0118</v>
      </c>
      <c r="G77" s="202" t="inlineStr">
        <is>
          <t>Dollar value of 4.99% outstanding</t>
        </is>
      </c>
      <c r="H77" s="223" t="n"/>
      <c r="I77" s="224" t="n"/>
      <c r="J77" s="255">
        <f>$J$76*$J$78</f>
        <v/>
      </c>
      <c r="L77" s="9" t="n"/>
      <c r="M77" s="9" t="n"/>
      <c r="N77" s="10" t="n"/>
      <c r="O77" s="10" t="n"/>
      <c r="P77" s="10" t="n"/>
    </row>
    <row r="78" ht="14.45" customHeight="1" thickBot="1">
      <c r="G78" s="187" t="inlineStr">
        <is>
          <t xml:space="preserve">Current Market Price (USD) </t>
        </is>
      </c>
      <c r="H78" s="223" t="n"/>
      <c r="I78" s="224" t="n"/>
      <c r="J78" s="256">
        <f>INDEX(Data!H:H,MATCH(BIGNUM,Data!H:H))</f>
        <v/>
      </c>
      <c r="L78" s="172" t="inlineStr">
        <is>
          <t>Based on last</t>
        </is>
      </c>
      <c r="M78" s="57" t="n"/>
      <c r="N78" s="58" t="n"/>
      <c r="O78" s="58" t="n"/>
      <c r="P78" s="59" t="n"/>
    </row>
    <row r="79" ht="14.45" customHeight="1" thickBot="1">
      <c r="B79" s="122" t="inlineStr">
        <is>
          <t>Accountant</t>
        </is>
      </c>
      <c r="C79" s="206" t="n"/>
      <c r="D79" s="221" t="n"/>
      <c r="E79" s="257" t="n"/>
      <c r="G79" s="204" t="inlineStr">
        <is>
          <t>Market Capitalization</t>
        </is>
      </c>
      <c r="H79" s="229" t="n"/>
      <c r="I79" s="230" t="n"/>
      <c r="J79" s="258">
        <f>$J$78*$J$74</f>
        <v/>
      </c>
      <c r="L79" s="35" t="inlineStr">
        <is>
          <t>% of Volume</t>
        </is>
      </c>
      <c r="M79" s="60" t="n"/>
      <c r="N79" s="61" t="n">
        <v>30</v>
      </c>
      <c r="O79" s="61" t="n">
        <v>60</v>
      </c>
      <c r="P79" s="62" t="n">
        <v>90</v>
      </c>
    </row>
    <row r="80" ht="14.45" customHeight="1" thickBot="1">
      <c r="B80" s="123" t="inlineStr">
        <is>
          <t>Attorney</t>
        </is>
      </c>
      <c r="C80" s="182" t="n"/>
      <c r="D80" s="229" t="n"/>
      <c r="E80" s="230" t="n"/>
      <c r="L80" s="63" t="n">
        <v>0.1</v>
      </c>
      <c r="M80" s="64" t="n"/>
      <c r="N80" s="248">
        <f>$L80*$P$57</f>
        <v/>
      </c>
      <c r="O80" s="248">
        <f>$L80*$P$58</f>
        <v/>
      </c>
      <c r="P80" s="249">
        <f>$L80*$P$59</f>
        <v/>
      </c>
    </row>
    <row r="81" ht="14.45" customHeight="1" thickBot="1">
      <c r="B81" s="123" t="inlineStr">
        <is>
          <t>Transfer Agent</t>
        </is>
      </c>
      <c r="C81" s="182" t="n"/>
      <c r="D81" s="229" t="n"/>
      <c r="E81" s="230" t="n"/>
      <c r="L81" s="65" t="n">
        <v>100000</v>
      </c>
      <c r="M81" s="66" t="n"/>
      <c r="N81" s="46">
        <f>ROUND(($L81/N$80),1)&amp;" Trading Days, "&amp;ROUND(($L81/N$80)/20,1)&amp;" Months"</f>
        <v/>
      </c>
      <c r="O81" s="46">
        <f>ROUND(($L81/O$80),1)&amp;" Trading Days, "&amp;ROUND(($L81/O$80)/20,1)&amp;" Months"</f>
        <v/>
      </c>
      <c r="P81" s="47">
        <f>ROUND(($L81/P$80),1)&amp;" Trading Days, "&amp;ROUND(($L81/P$80)/20,1)&amp;" Months"</f>
        <v/>
      </c>
    </row>
    <row r="82" ht="12" customHeight="1">
      <c r="L82" s="65" t="n">
        <v>50000</v>
      </c>
      <c r="M82" s="66" t="n"/>
      <c r="N82" s="46">
        <f>ROUND(($L82/N$80),1)&amp;" Trading Days, "&amp;ROUND(($L82/N$80)/20,1)&amp;" Months"</f>
        <v/>
      </c>
      <c r="O82" s="46">
        <f>ROUND(($L82/O$80),1)&amp;" Trading Days, "&amp;ROUND(($L82/O$80)/20,1)&amp;" Months"</f>
        <v/>
      </c>
      <c r="P82" s="47">
        <f>ROUND(($L82/P$80),1)&amp;" Trading Days, "&amp;ROUND(($L82/P$80)/20,1)&amp;" Months"</f>
        <v/>
      </c>
    </row>
    <row r="83" ht="14.45" customHeight="1" thickBot="1">
      <c r="L83" s="67" t="n">
        <v>25000</v>
      </c>
      <c r="M83" s="68" t="n"/>
      <c r="N83" s="49">
        <f>ROUND(($L83/N$80),1)&amp;" Trading Days, "&amp;ROUND(($L83/N$80)/20,1)&amp;" Months"</f>
        <v/>
      </c>
      <c r="O83" s="49">
        <f>ROUND(($L83/O$80),1)&amp;" Trading Days, "&amp;ROUND(($L83/O$80)/20,1)&amp;" Months"</f>
        <v/>
      </c>
      <c r="P83" s="50">
        <f>ROUND(($L83/P$80),1)&amp;" Trading Days, "&amp;ROUND(($L83/P$80)/20,1)&amp;" Months"</f>
        <v/>
      </c>
    </row>
    <row r="84" ht="12" customHeight="1">
      <c r="H84" s="154" t="inlineStr">
        <is>
          <t>INFO ABOUT PRODUCTS DOWN HERE/ USE SCREENSHOTS AS NEEDED FROM COMPANY WEBSITE AND/OR 10K</t>
        </is>
      </c>
    </row>
    <row r="85" ht="12" customHeight="1">
      <c r="R85" s="143" t="n"/>
    </row>
    <row r="86" ht="12" customHeight="1">
      <c r="R86" s="143" t="n"/>
    </row>
    <row r="87" ht="12" customHeight="1">
      <c r="L87" s="144" t="n"/>
      <c r="R87" s="143" t="n"/>
    </row>
    <row r="88" ht="12" customHeight="1">
      <c r="L88" s="150" t="n"/>
      <c r="M88" s="150" t="n"/>
      <c r="N88" s="150" t="n"/>
      <c r="O88" s="150" t="n"/>
      <c r="P88" s="150" t="n"/>
      <c r="R88" s="143" t="n"/>
    </row>
    <row r="89" ht="12" customHeight="1">
      <c r="L89" s="150" t="n"/>
      <c r="M89" s="150" t="n"/>
      <c r="N89" s="150" t="n"/>
      <c r="O89" s="150" t="n"/>
      <c r="P89" s="150" t="n"/>
      <c r="R89" s="143" t="n"/>
    </row>
    <row r="90" ht="12" customHeight="1">
      <c r="H90" s="141" t="n"/>
      <c r="I90" s="141" t="n"/>
      <c r="L90" s="150" t="n"/>
      <c r="M90" s="150" t="n"/>
      <c r="N90" s="150" t="n"/>
      <c r="O90" s="150" t="n"/>
      <c r="P90" s="150" t="n"/>
      <c r="R90" s="143" t="n"/>
    </row>
    <row r="91" ht="12" customHeight="1">
      <c r="H91" s="141" t="n"/>
      <c r="I91" s="141" t="n"/>
      <c r="L91" s="150" t="n"/>
      <c r="M91" s="150" t="n"/>
      <c r="N91" s="150" t="n"/>
      <c r="O91" s="150" t="n"/>
      <c r="P91" s="150" t="n"/>
    </row>
    <row r="92" ht="12" customHeight="1">
      <c r="H92" s="141" t="n"/>
      <c r="I92" s="141" t="n"/>
      <c r="L92" s="150" t="n"/>
      <c r="M92" s="150" t="n"/>
      <c r="N92" s="150" t="n"/>
      <c r="O92" s="150" t="n"/>
      <c r="P92" s="150" t="n"/>
    </row>
    <row r="93" ht="12" customHeight="1">
      <c r="L93" s="150" t="n"/>
      <c r="M93" s="150" t="n"/>
      <c r="N93" s="150" t="n"/>
      <c r="O93" s="150" t="n"/>
      <c r="P93" s="150" t="n"/>
    </row>
    <row r="94" ht="12" customHeight="1">
      <c r="L94" s="150" t="n"/>
      <c r="M94" s="150" t="n"/>
      <c r="N94" s="150" t="n"/>
      <c r="O94" s="150" t="n"/>
      <c r="P94" s="150" t="n"/>
    </row>
    <row r="95" ht="12" customHeight="1">
      <c r="L95" s="150" t="n"/>
      <c r="M95" s="150" t="n"/>
      <c r="N95" s="150" t="n"/>
      <c r="O95" s="150" t="n"/>
      <c r="P95" s="150" t="n"/>
    </row>
    <row r="96" ht="16.5" customHeight="1">
      <c r="L96" s="150" t="n"/>
      <c r="M96" s="150" t="n"/>
      <c r="N96" s="150" t="n"/>
      <c r="O96" s="150" t="n"/>
      <c r="P96" s="150" t="n"/>
    </row>
    <row r="97" ht="16.5" customHeight="1">
      <c r="L97" s="150" t="n"/>
      <c r="M97" s="150" t="n"/>
      <c r="N97" s="150" t="n"/>
      <c r="O97" s="150" t="n"/>
      <c r="P97" s="150" t="n"/>
    </row>
    <row r="98" ht="16.5" customHeight="1">
      <c r="L98" s="150" t="n"/>
      <c r="M98" s="150" t="n"/>
      <c r="N98" s="150" t="n"/>
      <c r="O98" s="150" t="n"/>
      <c r="P98" s="150" t="n"/>
    </row>
    <row r="99" ht="16.5" customHeight="1">
      <c r="L99" s="150" t="n"/>
      <c r="M99" s="150" t="n"/>
      <c r="N99" s="150" t="n"/>
      <c r="O99" s="150" t="n"/>
      <c r="P99" s="150" t="n"/>
    </row>
    <row r="100" ht="16.5" customHeight="1">
      <c r="L100" s="145" t="n"/>
      <c r="M100" s="145" t="n"/>
      <c r="N100" s="145" t="n"/>
      <c r="O100" s="145" t="n"/>
      <c r="P100" s="145" t="n"/>
    </row>
    <row r="101">
      <c r="L101" s="145" t="n"/>
      <c r="M101" s="145" t="n"/>
      <c r="N101" s="145" t="n"/>
      <c r="O101" s="145" t="n"/>
      <c r="P101" s="145" t="n"/>
    </row>
  </sheetData>
  <mergeCells count="47">
    <mergeCell ref="G74:I74"/>
    <mergeCell ref="G75:I75"/>
    <mergeCell ref="G71:I71"/>
    <mergeCell ref="C81:E81"/>
    <mergeCell ref="G77:I77"/>
    <mergeCell ref="G78:I78"/>
    <mergeCell ref="G79:I79"/>
    <mergeCell ref="G76:I76"/>
    <mergeCell ref="C79:E79"/>
    <mergeCell ref="C80:E80"/>
    <mergeCell ref="L58:O58"/>
    <mergeCell ref="L59:O59"/>
    <mergeCell ref="L60:O60"/>
    <mergeCell ref="L61:O61"/>
    <mergeCell ref="B59:E65"/>
    <mergeCell ref="B48:E48"/>
    <mergeCell ref="L62:N62"/>
    <mergeCell ref="G72:I72"/>
    <mergeCell ref="G73:I73"/>
    <mergeCell ref="L50:O50"/>
    <mergeCell ref="L51:O51"/>
    <mergeCell ref="L52:O52"/>
    <mergeCell ref="L53:O53"/>
    <mergeCell ref="L54:O54"/>
    <mergeCell ref="G48:J48"/>
    <mergeCell ref="C51:E51"/>
    <mergeCell ref="C52:E52"/>
    <mergeCell ref="C53:E53"/>
    <mergeCell ref="C54:E54"/>
    <mergeCell ref="C55:E55"/>
    <mergeCell ref="L57:O57"/>
    <mergeCell ref="H84:I89"/>
    <mergeCell ref="L47:P47"/>
    <mergeCell ref="G55:G59"/>
    <mergeCell ref="B8:J9"/>
    <mergeCell ref="G61:G65"/>
    <mergeCell ref="G67:G69"/>
    <mergeCell ref="C50:E50"/>
    <mergeCell ref="B49:E49"/>
    <mergeCell ref="B58:E58"/>
    <mergeCell ref="B47:E47"/>
    <mergeCell ref="G47:J47"/>
    <mergeCell ref="G49:H49"/>
    <mergeCell ref="G54:H54"/>
    <mergeCell ref="G60:H60"/>
    <mergeCell ref="G66:H66"/>
    <mergeCell ref="C56:E56"/>
  </mergeCells>
  <conditionalFormatting sqref="P50">
    <cfRule type="colorScale" priority="20">
      <colorScale>
        <cfvo type="num" val="0"/>
        <cfvo type="num" val="10000"/>
        <color rgb="FFFF9999"/>
        <color theme="9" tint="0.5999938962981048"/>
      </colorScale>
    </cfRule>
  </conditionalFormatting>
  <conditionalFormatting sqref="J3">
    <cfRule type="containsText" priority="18" operator="containsText" dxfId="0" text="Exchange">
      <formula>NOT(ISERROR(SEARCH("Exchange",J3)))</formula>
    </cfRule>
  </conditionalFormatting>
  <conditionalFormatting sqref="J4">
    <cfRule type="containsText" priority="17" operator="containsText" dxfId="0" text="Stock Symbol">
      <formula>NOT(ISERROR(SEARCH("Stock Symbol",J4)))</formula>
    </cfRule>
  </conditionalFormatting>
  <conditionalFormatting sqref="C3:C5 J75 I65:J65 I67:J69">
    <cfRule type="containsBlanks" priority="12" dxfId="0">
      <formula>LEN(TRIM(C3))=0</formula>
    </cfRule>
  </conditionalFormatting>
  <conditionalFormatting sqref="B51:C51 B59:E65 B56:C56 B54:B55 B53:C53 C52">
    <cfRule type="containsBlanks" priority="11" dxfId="0">
      <formula>LEN(TRIM(B51))=0</formula>
    </cfRule>
  </conditionalFormatting>
  <conditionalFormatting sqref="I55:J57 I61:J62">
    <cfRule type="containsBlanks" priority="10" dxfId="0">
      <formula>LEN(TRIM(I55))=0</formula>
    </cfRule>
  </conditionalFormatting>
  <conditionalFormatting sqref="B2">
    <cfRule type="containsText" priority="8" operator="containsText" dxfId="0" text="Company Name">
      <formula>NOT(ISERROR(SEARCH("Company Name",B2)))</formula>
    </cfRule>
  </conditionalFormatting>
  <conditionalFormatting sqref="B70:E77">
    <cfRule type="containsBlanks" priority="7" dxfId="0">
      <formula>LEN(TRIM(B70))=0</formula>
    </cfRule>
  </conditionalFormatting>
  <conditionalFormatting sqref="J7">
    <cfRule type="containsBlanks" priority="6" dxfId="0">
      <formula>LEN(TRIM(J7))=0</formula>
    </cfRule>
  </conditionalFormatting>
  <conditionalFormatting sqref="C54">
    <cfRule type="containsBlanks" priority="5" dxfId="0">
      <formula>LEN(TRIM(C54))=0</formula>
    </cfRule>
  </conditionalFormatting>
  <conditionalFormatting sqref="C55">
    <cfRule type="containsBlanks" priority="4" dxfId="0">
      <formula>LEN(TRIM(C55))=0</formula>
    </cfRule>
  </conditionalFormatting>
  <conditionalFormatting sqref="B68:E69">
    <cfRule type="containsBlanks" priority="2" dxfId="0">
      <formula>LEN(TRIM(B68))=0</formula>
    </cfRule>
  </conditionalFormatting>
  <conditionalFormatting sqref="B52">
    <cfRule type="containsBlanks" priority="1" dxfId="0">
      <formula>LEN(TRIM(B52))=0</formula>
    </cfRule>
  </conditionalFormatting>
  <pageMargins left="0.25" right="0.25" top="0.75" bottom="0.75" header="0.3" footer="0.3"/>
  <pageSetup orientation="portrait" paperSize="9"/>
  <drawing xmlns:r="http://schemas.openxmlformats.org/officeDocument/2006/relationships" r:id="rId1"/>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5:K136"/>
  <sheetViews>
    <sheetView topLeftCell="A106" zoomScale="85" zoomScaleNormal="85" zoomScalePageLayoutView="85" workbookViewId="0">
      <selection activeCell="J94" sqref="J93:K94"/>
    </sheetView>
  </sheetViews>
  <sheetFormatPr baseColWidth="8" defaultColWidth="8.85546875" defaultRowHeight="15"/>
  <cols>
    <col width="11" bestFit="1" customWidth="1" min="1" max="1"/>
    <col width="6.85546875" bestFit="1" customWidth="1" min="2" max="5"/>
    <col width="7.85546875" bestFit="1" customWidth="1" min="6" max="6"/>
    <col width="15.5703125" customWidth="1" min="9" max="9"/>
    <col width="16.42578125" customWidth="1" min="10" max="10"/>
    <col width="9.85546875" bestFit="1" customWidth="1" min="11" max="11"/>
  </cols>
  <sheetData>
    <row r="5">
      <c r="A5" s="11" t="n"/>
    </row>
    <row r="6" ht="21" customHeight="1">
      <c r="A6" s="2" t="inlineStr">
        <is>
          <t>6 Month</t>
        </is>
      </c>
      <c r="B6" s="2" t="n"/>
      <c r="C6" s="2" t="n"/>
      <c r="D6" s="2" t="n"/>
      <c r="E6" s="2" t="n"/>
      <c r="F6" s="2" t="n"/>
      <c r="G6" s="2" t="n"/>
      <c r="H6" s="2" t="n"/>
      <c r="I6" s="2" t="n"/>
    </row>
    <row r="7">
      <c r="A7" t="inlineStr">
        <is>
          <t>Date</t>
        </is>
      </c>
      <c r="B7" t="inlineStr">
        <is>
          <t>Open</t>
        </is>
      </c>
      <c r="C7" t="inlineStr">
        <is>
          <t>High</t>
        </is>
      </c>
      <c r="D7" t="inlineStr">
        <is>
          <t>Low</t>
        </is>
      </c>
      <c r="E7" t="inlineStr">
        <is>
          <t>Close</t>
        </is>
      </c>
      <c r="F7" t="inlineStr">
        <is>
          <t>Volume</t>
        </is>
      </c>
      <c r="G7" s="16" t="inlineStr">
        <is>
          <t>VWOP</t>
        </is>
      </c>
      <c r="H7" s="17" t="inlineStr">
        <is>
          <t>OHLC Avg</t>
        </is>
      </c>
      <c r="I7" s="17" t="inlineStr">
        <is>
          <t>Value Traded</t>
        </is>
      </c>
    </row>
    <row r="8">
      <c r="A8" s="15" t="n">
        <v>43068</v>
      </c>
      <c r="B8" t="n">
        <v>159.99</v>
      </c>
      <c r="C8" t="n">
        <v>165.52</v>
      </c>
      <c r="D8" t="n">
        <v>159.92</v>
      </c>
      <c r="E8" t="n">
        <v>165.3</v>
      </c>
      <c r="F8" t="n">
        <v>174048100</v>
      </c>
      <c r="G8" s="18">
        <f>(AVERAGE(B8:E8)*F8)/F8</f>
        <v/>
      </c>
      <c r="H8" s="18">
        <f>AVERAGE(B8:E8)</f>
        <v/>
      </c>
      <c r="I8" s="259">
        <f>F8*AVERAGE(B8:E8)</f>
        <v/>
      </c>
    </row>
    <row r="9">
      <c r="A9" s="15" t="n">
        <v>43069</v>
      </c>
      <c r="B9" t="n">
        <v>167.48</v>
      </c>
      <c r="C9" t="n">
        <v>170.3</v>
      </c>
      <c r="D9" t="n">
        <v>164.53</v>
      </c>
      <c r="E9" t="n">
        <v>164.77</v>
      </c>
      <c r="F9" t="n">
        <v>152052500</v>
      </c>
      <c r="G9" s="18">
        <f>(AVERAGE(B9:E9)*F9)/F9</f>
        <v/>
      </c>
      <c r="H9" s="18">
        <f>AVERAGE(B9:E9)</f>
        <v/>
      </c>
      <c r="I9" s="259">
        <f>F9*AVERAGE(B9:E9)</f>
        <v/>
      </c>
    </row>
    <row r="10">
      <c r="A10" s="15" t="n">
        <v>43070</v>
      </c>
      <c r="B10" t="n">
        <v>158.74</v>
      </c>
      <c r="C10" t="n">
        <v>164.2</v>
      </c>
      <c r="D10" t="n">
        <v>157.8</v>
      </c>
      <c r="E10" t="n">
        <v>163.76</v>
      </c>
      <c r="F10" t="n">
        <v>136739200</v>
      </c>
      <c r="G10" s="18">
        <f>(AVERAGE(B10:E10)*F10)/F10</f>
        <v/>
      </c>
      <c r="H10" s="18">
        <f>AVERAGE(B10:E10)</f>
        <v/>
      </c>
      <c r="I10" s="259">
        <f>F10*AVERAGE(B10:E10)</f>
        <v/>
      </c>
    </row>
    <row r="11">
      <c r="A11" s="15" t="n">
        <v>43071</v>
      </c>
      <c r="B11" t="n">
        <v>164.02</v>
      </c>
      <c r="C11" t="n">
        <v>164.96</v>
      </c>
      <c r="D11" t="n">
        <v>159.72</v>
      </c>
      <c r="E11" t="n">
        <v>161.84</v>
      </c>
      <c r="F11" t="n">
        <v>118023100</v>
      </c>
      <c r="G11" s="18">
        <f>(AVERAGE(B11:E11)*F11)/F11</f>
        <v/>
      </c>
      <c r="H11" s="18">
        <f>AVERAGE(B11:E11)</f>
        <v/>
      </c>
      <c r="I11" s="259">
        <f>F11*AVERAGE(B11:E11)</f>
        <v/>
      </c>
    </row>
    <row r="12">
      <c r="A12" s="15" t="n">
        <v>43074</v>
      </c>
      <c r="B12" t="n">
        <v>164.29</v>
      </c>
      <c r="C12" t="n">
        <v>167.88</v>
      </c>
      <c r="D12" t="n">
        <v>164.28</v>
      </c>
      <c r="E12" t="n">
        <v>165.32</v>
      </c>
      <c r="F12" t="n">
        <v>107497000</v>
      </c>
      <c r="G12" s="18">
        <f>(AVERAGE(B12:E12)*F12)/F12</f>
        <v/>
      </c>
      <c r="H12" s="18">
        <f>AVERAGE(B12:E12)</f>
        <v/>
      </c>
      <c r="I12" s="259">
        <f>F12*AVERAGE(B12:E12)</f>
        <v/>
      </c>
    </row>
    <row r="13">
      <c r="A13" s="15" t="n">
        <v>43075</v>
      </c>
      <c r="B13" t="n">
        <v>169.08</v>
      </c>
      <c r="C13" t="n">
        <v>171.58</v>
      </c>
      <c r="D13" t="n">
        <v>168.34</v>
      </c>
      <c r="E13" t="n">
        <v>171.18</v>
      </c>
      <c r="F13" t="n">
        <v>120405400</v>
      </c>
      <c r="G13" s="18">
        <f>(AVERAGE(B13:E13)*F13)/F13</f>
        <v/>
      </c>
      <c r="H13" s="18">
        <f>AVERAGE(B13:E13)</f>
        <v/>
      </c>
      <c r="I13" s="259">
        <f>F13*AVERAGE(B13:E13)</f>
        <v/>
      </c>
    </row>
    <row r="14">
      <c r="A14" s="15" t="n">
        <v>43076</v>
      </c>
      <c r="B14" t="n">
        <v>172.13</v>
      </c>
      <c r="C14" t="n">
        <v>175.96</v>
      </c>
      <c r="D14" t="n">
        <v>170.7</v>
      </c>
      <c r="E14" t="n">
        <v>175.08</v>
      </c>
      <c r="F14" t="n">
        <v>116998900</v>
      </c>
      <c r="G14" s="18">
        <f>(AVERAGE(B14:E14)*F14)/F14</f>
        <v/>
      </c>
      <c r="H14" s="18">
        <f>AVERAGE(B14:E14)</f>
        <v/>
      </c>
      <c r="I14" s="259">
        <f>F14*AVERAGE(B14:E14)</f>
        <v/>
      </c>
    </row>
    <row r="15">
      <c r="A15" s="15" t="n">
        <v>43077</v>
      </c>
      <c r="B15" t="n">
        <v>174.91</v>
      </c>
      <c r="C15" t="n">
        <v>176.75</v>
      </c>
      <c r="D15" t="n">
        <v>173.92</v>
      </c>
      <c r="E15" t="n">
        <v>174.56</v>
      </c>
      <c r="F15" t="n">
        <v>108923700</v>
      </c>
      <c r="G15" s="18">
        <f>(AVERAGE(B15:E15)*F15)/F15</f>
        <v/>
      </c>
      <c r="H15" s="18">
        <f>AVERAGE(B15:E15)</f>
        <v/>
      </c>
      <c r="I15" s="259">
        <f>F15*AVERAGE(B15:E15)</f>
        <v/>
      </c>
    </row>
    <row r="16">
      <c r="A16" s="15" t="n">
        <v>43078</v>
      </c>
      <c r="B16" t="n">
        <v>175.21</v>
      </c>
      <c r="C16" t="n">
        <v>179.63</v>
      </c>
      <c r="D16" t="n">
        <v>174.69</v>
      </c>
      <c r="E16" t="n">
        <v>179.45</v>
      </c>
      <c r="F16" t="n">
        <v>115402700</v>
      </c>
      <c r="G16" s="18">
        <f>(AVERAGE(B16:E16)*F16)/F16</f>
        <v/>
      </c>
      <c r="H16" s="18">
        <f>AVERAGE(B16:E16)</f>
        <v/>
      </c>
      <c r="I16" s="259">
        <f>F16*AVERAGE(B16:E16)</f>
        <v/>
      </c>
    </row>
    <row r="17">
      <c r="A17" s="15" t="n">
        <v>43081</v>
      </c>
      <c r="B17" t="n">
        <v>181.12</v>
      </c>
      <c r="C17" t="n">
        <v>182.13</v>
      </c>
      <c r="D17" t="n">
        <v>175.53</v>
      </c>
      <c r="E17" t="n">
        <v>175.74</v>
      </c>
      <c r="F17" t="n">
        <v>153237000</v>
      </c>
      <c r="G17" s="18">
        <f>(AVERAGE(B17:E17)*F17)/F17</f>
        <v/>
      </c>
      <c r="H17" s="18">
        <f>AVERAGE(B17:E17)</f>
        <v/>
      </c>
      <c r="I17" s="259">
        <f>F17*AVERAGE(B17:E17)</f>
        <v/>
      </c>
    </row>
    <row r="18">
      <c r="A18" s="15" t="n">
        <v>43082</v>
      </c>
      <c r="B18" t="n">
        <v>175.25</v>
      </c>
      <c r="C18" t="n">
        <v>177.74</v>
      </c>
      <c r="D18" t="n">
        <v>172.21</v>
      </c>
      <c r="E18" t="n">
        <v>174.33</v>
      </c>
      <c r="F18" t="n">
        <v>139380400</v>
      </c>
      <c r="G18" s="18">
        <f>(AVERAGE(B18:E18)*F18)/F18</f>
        <v/>
      </c>
      <c r="H18" s="18">
        <f>AVERAGE(B18:E18)</f>
        <v/>
      </c>
      <c r="I18" s="259">
        <f>F18*AVERAGE(B18:E18)</f>
        <v/>
      </c>
    </row>
    <row r="19">
      <c r="A19" s="15" t="n">
        <v>43083</v>
      </c>
      <c r="B19" t="n">
        <v>175.11</v>
      </c>
      <c r="C19" t="n">
        <v>179.5</v>
      </c>
      <c r="D19" t="n">
        <v>172.31</v>
      </c>
      <c r="E19" t="n">
        <v>179.3</v>
      </c>
      <c r="F19" t="n">
        <v>131063300</v>
      </c>
      <c r="G19" s="18">
        <f>(AVERAGE(B19:E19)*F19)/F19</f>
        <v/>
      </c>
      <c r="H19" s="18">
        <f>AVERAGE(B19:E19)</f>
        <v/>
      </c>
      <c r="I19" s="259">
        <f>F19*AVERAGE(B19:E19)</f>
        <v/>
      </c>
    </row>
    <row r="20">
      <c r="A20" s="15" t="n">
        <v>43084</v>
      </c>
      <c r="B20" t="n">
        <v>179.28</v>
      </c>
      <c r="C20" t="n">
        <v>181.14</v>
      </c>
      <c r="D20" t="n">
        <v>170.75</v>
      </c>
      <c r="E20" t="n">
        <v>172.26</v>
      </c>
      <c r="F20" t="n">
        <v>150185800</v>
      </c>
      <c r="G20" s="18">
        <f>(AVERAGE(B20:E20)*F20)/F20</f>
        <v/>
      </c>
      <c r="H20" s="18">
        <f>AVERAGE(B20:E20)</f>
        <v/>
      </c>
      <c r="I20" s="259">
        <f>F20*AVERAGE(B20:E20)</f>
        <v/>
      </c>
    </row>
    <row r="21">
      <c r="A21" s="15" t="n">
        <v>43085</v>
      </c>
      <c r="B21" t="n">
        <v>169.93</v>
      </c>
      <c r="C21" t="n">
        <v>173.47</v>
      </c>
      <c r="D21" t="n">
        <v>169.69</v>
      </c>
      <c r="E21" t="n">
        <v>171.14</v>
      </c>
      <c r="F21" t="n">
        <v>195432700</v>
      </c>
      <c r="G21" s="18">
        <f>(AVERAGE(B21:E21)*F21)/F21</f>
        <v/>
      </c>
      <c r="H21" s="18">
        <f>AVERAGE(B21:E21)</f>
        <v/>
      </c>
      <c r="I21" s="259">
        <f>F21*AVERAGE(B21:E21)</f>
        <v/>
      </c>
    </row>
    <row r="22">
      <c r="A22" s="15" t="n">
        <v>43088</v>
      </c>
      <c r="B22" t="n">
        <v>168.28</v>
      </c>
      <c r="C22" t="n">
        <v>170.58</v>
      </c>
      <c r="D22" t="n">
        <v>167.46</v>
      </c>
      <c r="E22" t="n">
        <v>169.75</v>
      </c>
      <c r="F22" t="n">
        <v>107499100</v>
      </c>
      <c r="G22" s="18">
        <f>(AVERAGE(B22:E22)*F22)/F22</f>
        <v/>
      </c>
      <c r="H22" s="18">
        <f>AVERAGE(B22:E22)</f>
        <v/>
      </c>
      <c r="I22" s="259">
        <f>F22*AVERAGE(B22:E22)</f>
        <v/>
      </c>
    </row>
    <row r="23">
      <c r="A23" s="15" t="n">
        <v>43089</v>
      </c>
      <c r="B23" t="n">
        <v>171.56</v>
      </c>
      <c r="C23" t="n">
        <v>173.2</v>
      </c>
      <c r="D23" t="n">
        <v>169.12</v>
      </c>
      <c r="E23" t="n">
        <v>172.99</v>
      </c>
      <c r="F23" t="n">
        <v>91185900</v>
      </c>
      <c r="G23" s="18">
        <f>(AVERAGE(B23:E23)*F23)/F23</f>
        <v/>
      </c>
      <c r="H23" s="18">
        <f>AVERAGE(B23:E23)</f>
        <v/>
      </c>
      <c r="I23" s="259">
        <f>F23*AVERAGE(B23:E23)</f>
        <v/>
      </c>
    </row>
    <row r="24">
      <c r="A24" s="15" t="n">
        <v>43090</v>
      </c>
      <c r="B24" t="n">
        <v>173.04</v>
      </c>
      <c r="C24" t="n">
        <v>175.86</v>
      </c>
      <c r="D24" t="n">
        <v>172.15</v>
      </c>
      <c r="E24" t="n">
        <v>175.64</v>
      </c>
      <c r="F24" t="n">
        <v>92135300</v>
      </c>
      <c r="G24" s="18">
        <f>(AVERAGE(B24:E24)*F24)/F24</f>
        <v/>
      </c>
      <c r="H24" s="18">
        <f>AVERAGE(B24:E24)</f>
        <v/>
      </c>
      <c r="I24" s="259">
        <f>F24*AVERAGE(B24:E24)</f>
        <v/>
      </c>
    </row>
    <row r="25">
      <c r="A25" s="15" t="n">
        <v>43091</v>
      </c>
      <c r="B25" t="n">
        <v>175.85</v>
      </c>
      <c r="C25" t="n">
        <v>176.85</v>
      </c>
      <c r="D25" t="n">
        <v>175.27</v>
      </c>
      <c r="E25" t="n">
        <v>176.28</v>
      </c>
      <c r="F25" t="n">
        <v>68356600</v>
      </c>
      <c r="G25" s="18">
        <f>(AVERAGE(B25:E25)*F25)/F25</f>
        <v/>
      </c>
      <c r="H25" s="18">
        <f>AVERAGE(B25:E25)</f>
        <v/>
      </c>
      <c r="I25" s="259">
        <f>F25*AVERAGE(B25:E25)</f>
        <v/>
      </c>
    </row>
    <row r="26">
      <c r="A26" s="15" t="n">
        <v>43095</v>
      </c>
      <c r="B26" t="n">
        <v>177.09</v>
      </c>
      <c r="C26" t="n">
        <v>180.42</v>
      </c>
      <c r="D26" t="n">
        <v>177.07</v>
      </c>
      <c r="E26" t="n">
        <v>180.33</v>
      </c>
      <c r="F26" t="n">
        <v>74919600</v>
      </c>
      <c r="G26" s="18">
        <f>(AVERAGE(B26:E26)*F26)/F26</f>
        <v/>
      </c>
      <c r="H26" s="18">
        <f>AVERAGE(B26:E26)</f>
        <v/>
      </c>
      <c r="I26" s="259">
        <f>F26*AVERAGE(B26:E26)</f>
        <v/>
      </c>
    </row>
    <row r="27">
      <c r="A27" s="15" t="n">
        <v>43096</v>
      </c>
      <c r="B27" t="n">
        <v>180.16</v>
      </c>
      <c r="C27" t="n">
        <v>181.33</v>
      </c>
      <c r="D27" t="n">
        <v>178.53</v>
      </c>
      <c r="E27" t="n">
        <v>179.29</v>
      </c>
      <c r="F27" t="n">
        <v>79144300</v>
      </c>
      <c r="G27" s="18">
        <f>(AVERAGE(B27:E27)*F27)/F27</f>
        <v/>
      </c>
      <c r="H27" s="18">
        <f>AVERAGE(B27:E27)</f>
        <v/>
      </c>
      <c r="I27" s="259">
        <f>F27*AVERAGE(B27:E27)</f>
        <v/>
      </c>
    </row>
    <row r="28">
      <c r="A28" s="15" t="n">
        <v>43097</v>
      </c>
      <c r="B28" t="n">
        <v>179.33</v>
      </c>
      <c r="C28" t="n">
        <v>180.63</v>
      </c>
      <c r="D28" t="n">
        <v>178.14</v>
      </c>
      <c r="E28" t="n">
        <v>179.38</v>
      </c>
      <c r="F28" t="n">
        <v>62348900</v>
      </c>
      <c r="G28" s="18">
        <f>(AVERAGE(B28:E28)*F28)/F28</f>
        <v/>
      </c>
      <c r="H28" s="18">
        <f>AVERAGE(B28:E28)</f>
        <v/>
      </c>
      <c r="I28" s="259">
        <f>F28*AVERAGE(B28:E28)</f>
        <v/>
      </c>
    </row>
    <row r="29">
      <c r="A29" s="15" t="n">
        <v>43098</v>
      </c>
      <c r="B29" t="n">
        <v>179.47</v>
      </c>
      <c r="C29" t="n">
        <v>180.57</v>
      </c>
      <c r="D29" t="n">
        <v>178.09</v>
      </c>
      <c r="E29" t="n">
        <v>178.2</v>
      </c>
      <c r="F29" t="n">
        <v>59773000</v>
      </c>
      <c r="G29" s="18">
        <f>(AVERAGE(B29:E29)*F29)/F29</f>
        <v/>
      </c>
      <c r="H29" s="18">
        <f>AVERAGE(B29:E29)</f>
        <v/>
      </c>
      <c r="I29" s="259">
        <f>F29*AVERAGE(B29:E29)</f>
        <v/>
      </c>
    </row>
    <row r="30">
      <c r="A30" s="15" t="n">
        <v>43099</v>
      </c>
      <c r="B30" t="n">
        <v>178.09</v>
      </c>
      <c r="C30" t="n">
        <v>179.23</v>
      </c>
      <c r="D30" t="n">
        <v>177.26</v>
      </c>
      <c r="E30" t="n">
        <v>177.57</v>
      </c>
      <c r="F30" t="n">
        <v>64062300</v>
      </c>
      <c r="G30" s="18">
        <f>(AVERAGE(B30:E30)*F30)/F30</f>
        <v/>
      </c>
      <c r="H30" s="18">
        <f>AVERAGE(B30:E30)</f>
        <v/>
      </c>
      <c r="I30" s="259">
        <f>F30*AVERAGE(B30:E30)</f>
        <v/>
      </c>
    </row>
    <row r="31">
      <c r="A31" s="15" t="n">
        <v>43102</v>
      </c>
      <c r="B31" t="n">
        <v>177.83</v>
      </c>
      <c r="C31" t="n">
        <v>182.88</v>
      </c>
      <c r="D31" t="n">
        <v>177.71</v>
      </c>
      <c r="E31" t="n">
        <v>182.01</v>
      </c>
      <c r="F31" t="n">
        <v>104487900</v>
      </c>
      <c r="G31" s="18">
        <f>(AVERAGE(B31:E31)*F31)/F31</f>
        <v/>
      </c>
      <c r="H31" s="18">
        <f>AVERAGE(B31:E31)</f>
        <v/>
      </c>
      <c r="I31" s="259">
        <f>F31*AVERAGE(B31:E31)</f>
        <v/>
      </c>
    </row>
    <row r="32">
      <c r="A32" s="15" t="n">
        <v>43103</v>
      </c>
      <c r="B32" t="n">
        <v>182.63</v>
      </c>
      <c r="C32" t="n">
        <v>182.94</v>
      </c>
      <c r="D32" t="n">
        <v>179.12</v>
      </c>
      <c r="E32" t="n">
        <v>179.7</v>
      </c>
      <c r="F32" t="n">
        <v>99310400</v>
      </c>
      <c r="G32" s="18">
        <f>(AVERAGE(B32:E32)*F32)/F32</f>
        <v/>
      </c>
      <c r="H32" s="18">
        <f>AVERAGE(B32:E32)</f>
        <v/>
      </c>
      <c r="I32" s="259">
        <f>F32*AVERAGE(B32:E32)</f>
        <v/>
      </c>
    </row>
    <row r="33">
      <c r="A33" s="15" t="n">
        <v>43104</v>
      </c>
      <c r="B33" t="n">
        <v>179.61</v>
      </c>
      <c r="C33" t="n">
        <v>180.17</v>
      </c>
      <c r="D33" t="n">
        <v>174.64</v>
      </c>
      <c r="E33" t="n">
        <v>174.92</v>
      </c>
      <c r="F33" t="n">
        <v>94537600</v>
      </c>
      <c r="G33" s="18">
        <f>(AVERAGE(B33:E33)*F33)/F33</f>
        <v/>
      </c>
      <c r="H33" s="18">
        <f>AVERAGE(B33:E33)</f>
        <v/>
      </c>
      <c r="I33" s="259">
        <f>F33*AVERAGE(B33:E33)</f>
        <v/>
      </c>
    </row>
    <row r="34">
      <c r="A34" s="15" t="n">
        <v>43105</v>
      </c>
      <c r="B34" t="n">
        <v>172.7</v>
      </c>
      <c r="C34" t="n">
        <v>175.3</v>
      </c>
      <c r="D34" t="n">
        <v>171.64</v>
      </c>
      <c r="E34" t="n">
        <v>172</v>
      </c>
      <c r="F34" t="n">
        <v>96904000</v>
      </c>
      <c r="G34" s="18">
        <f>(AVERAGE(B34:E34)*F34)/F34</f>
        <v/>
      </c>
      <c r="H34" s="18">
        <f>AVERAGE(B34:E34)</f>
        <v/>
      </c>
      <c r="I34" s="259">
        <f>F34*AVERAGE(B34:E34)</f>
        <v/>
      </c>
    </row>
    <row r="35">
      <c r="A35" s="15" t="n">
        <v>43106</v>
      </c>
      <c r="B35" t="n">
        <v>172.89</v>
      </c>
      <c r="C35" t="n">
        <v>174.14</v>
      </c>
      <c r="D35" t="n">
        <v>171.03</v>
      </c>
      <c r="E35" t="n">
        <v>172.17</v>
      </c>
      <c r="F35" t="n">
        <v>86709100</v>
      </c>
      <c r="G35" s="18">
        <f>(AVERAGE(B35:E35)*F35)/F35</f>
        <v/>
      </c>
      <c r="H35" s="18">
        <f>AVERAGE(B35:E35)</f>
        <v/>
      </c>
      <c r="I35" s="259">
        <f>F35*AVERAGE(B35:E35)</f>
        <v/>
      </c>
    </row>
    <row r="36">
      <c r="A36" s="15" t="n">
        <v>43109</v>
      </c>
      <c r="B36" t="n">
        <v>169.08</v>
      </c>
      <c r="C36" t="n">
        <v>172.5</v>
      </c>
      <c r="D36" t="n">
        <v>168.17</v>
      </c>
      <c r="E36" t="n">
        <v>172.19</v>
      </c>
      <c r="F36" t="n">
        <v>106765600</v>
      </c>
      <c r="G36" s="18">
        <f>(AVERAGE(B36:E36)*F36)/F36</f>
        <v/>
      </c>
      <c r="H36" s="18">
        <f>AVERAGE(B36:E36)</f>
        <v/>
      </c>
      <c r="I36" s="259">
        <f>F36*AVERAGE(B36:E36)</f>
        <v/>
      </c>
    </row>
    <row r="37">
      <c r="A37" s="15" t="n">
        <v>43110</v>
      </c>
      <c r="B37" t="n">
        <v>172.32</v>
      </c>
      <c r="C37" t="n">
        <v>175.18</v>
      </c>
      <c r="D37" t="n">
        <v>170.82</v>
      </c>
      <c r="E37" t="n">
        <v>175.08</v>
      </c>
      <c r="F37" t="n">
        <v>76138300</v>
      </c>
      <c r="G37" s="18">
        <f>(AVERAGE(B37:E37)*F37)/F37</f>
        <v/>
      </c>
      <c r="H37" s="18">
        <f>AVERAGE(B37:E37)</f>
        <v/>
      </c>
      <c r="I37" s="259">
        <f>F37*AVERAGE(B37:E37)</f>
        <v/>
      </c>
    </row>
    <row r="38">
      <c r="A38" s="15" t="n">
        <v>43111</v>
      </c>
      <c r="B38" t="n">
        <v>176.12</v>
      </c>
      <c r="C38" t="n">
        <v>177.18</v>
      </c>
      <c r="D38" t="n">
        <v>174.82</v>
      </c>
      <c r="E38" t="n">
        <v>175.53</v>
      </c>
      <c r="F38" t="n">
        <v>74805200</v>
      </c>
      <c r="G38" s="18">
        <f>(AVERAGE(B38:E38)*F38)/F38</f>
        <v/>
      </c>
      <c r="H38" s="18">
        <f>AVERAGE(B38:E38)</f>
        <v/>
      </c>
      <c r="I38" s="259">
        <f>F38*AVERAGE(B38:E38)</f>
        <v/>
      </c>
    </row>
    <row r="39">
      <c r="A39" s="15" t="n">
        <v>43112</v>
      </c>
      <c r="B39" t="n">
        <v>175.78</v>
      </c>
      <c r="C39" t="n">
        <v>176.62</v>
      </c>
      <c r="D39" t="n">
        <v>171.79</v>
      </c>
      <c r="E39" t="n">
        <v>172.19</v>
      </c>
      <c r="F39" t="n">
        <v>84505800</v>
      </c>
      <c r="G39" s="18">
        <f>(AVERAGE(B39:E39)*F39)/F39</f>
        <v/>
      </c>
      <c r="H39" s="18">
        <f>AVERAGE(B39:E39)</f>
        <v/>
      </c>
      <c r="I39" s="259">
        <f>F39*AVERAGE(B39:E39)</f>
        <v/>
      </c>
    </row>
    <row r="40">
      <c r="A40" s="15" t="n">
        <v>43113</v>
      </c>
      <c r="B40" t="n">
        <v>171.34</v>
      </c>
      <c r="C40" t="n">
        <v>173.78</v>
      </c>
      <c r="D40" t="n">
        <v>171.09</v>
      </c>
      <c r="E40" t="n">
        <v>173.07</v>
      </c>
      <c r="F40" t="n">
        <v>80440800</v>
      </c>
      <c r="G40" s="18">
        <f>(AVERAGE(B40:E40)*F40)/F40</f>
        <v/>
      </c>
      <c r="H40" s="18">
        <f>AVERAGE(B40:E40)</f>
        <v/>
      </c>
      <c r="I40" s="259">
        <f>F40*AVERAGE(B40:E40)</f>
        <v/>
      </c>
    </row>
    <row r="41">
      <c r="A41" s="15" t="n">
        <v>43117</v>
      </c>
      <c r="B41" t="n">
        <v>171.51</v>
      </c>
      <c r="C41" t="n">
        <v>172.54</v>
      </c>
      <c r="D41" t="n">
        <v>169.41</v>
      </c>
      <c r="E41" t="n">
        <v>169.8</v>
      </c>
      <c r="F41" t="n">
        <v>90956700</v>
      </c>
      <c r="G41" s="18">
        <f>(AVERAGE(B41:E41)*F41)/F41</f>
        <v/>
      </c>
      <c r="H41" s="18">
        <f>AVERAGE(B41:E41)</f>
        <v/>
      </c>
      <c r="I41" s="259">
        <f>F41*AVERAGE(B41:E41)</f>
        <v/>
      </c>
    </row>
    <row r="42">
      <c r="A42" s="15" t="n">
        <v>43118</v>
      </c>
      <c r="B42" t="n">
        <v>170</v>
      </c>
      <c r="C42" t="n">
        <v>171.08</v>
      </c>
      <c r="D42" t="n">
        <v>165.94</v>
      </c>
      <c r="E42" t="n">
        <v>166.23</v>
      </c>
      <c r="F42" t="n">
        <v>94815000</v>
      </c>
      <c r="G42" s="18">
        <f>(AVERAGE(B42:E42)*F42)/F42</f>
        <v/>
      </c>
      <c r="H42" s="18">
        <f>AVERAGE(B42:E42)</f>
        <v/>
      </c>
      <c r="I42" s="259">
        <f>F42*AVERAGE(B42:E42)</f>
        <v/>
      </c>
    </row>
    <row r="43">
      <c r="A43" s="15" t="n">
        <v>43119</v>
      </c>
      <c r="B43" t="n">
        <v>166.98</v>
      </c>
      <c r="C43" t="n">
        <v>169.68</v>
      </c>
      <c r="D43" t="n">
        <v>164.18</v>
      </c>
      <c r="E43" t="n">
        <v>164.51</v>
      </c>
      <c r="F43" t="n">
        <v>91420500</v>
      </c>
      <c r="G43" s="18">
        <f>(AVERAGE(B43:E43)*F43)/F43</f>
        <v/>
      </c>
      <c r="H43" s="18">
        <f>AVERAGE(B43:E43)</f>
        <v/>
      </c>
      <c r="I43" s="259">
        <f>F43*AVERAGE(B43:E43)</f>
        <v/>
      </c>
    </row>
    <row r="44">
      <c r="A44" s="15" t="n">
        <v>43120</v>
      </c>
      <c r="B44" t="n">
        <v>164.42</v>
      </c>
      <c r="C44" t="n">
        <v>166.33</v>
      </c>
      <c r="D44" t="n">
        <v>162.3</v>
      </c>
      <c r="E44" t="n">
        <v>162.41</v>
      </c>
      <c r="F44" t="n">
        <v>122848900</v>
      </c>
      <c r="G44" s="18">
        <f>(AVERAGE(B44:E44)*F44)/F44</f>
        <v/>
      </c>
      <c r="H44" s="18">
        <f>AVERAGE(B44:E44)</f>
        <v/>
      </c>
      <c r="I44" s="259">
        <f>F44*AVERAGE(B44:E44)</f>
        <v/>
      </c>
    </row>
    <row r="45">
      <c r="A45" s="15" t="n">
        <v>43123</v>
      </c>
      <c r="B45" t="n">
        <v>160.02</v>
      </c>
      <c r="C45" t="n">
        <v>162.3</v>
      </c>
      <c r="D45" t="n">
        <v>154.7</v>
      </c>
      <c r="E45" t="n">
        <v>161.62</v>
      </c>
      <c r="F45" t="n">
        <v>162294600</v>
      </c>
      <c r="G45" s="18">
        <f>(AVERAGE(B45:E45)*F45)/F45</f>
        <v/>
      </c>
      <c r="H45" s="18">
        <f>AVERAGE(B45:E45)</f>
        <v/>
      </c>
      <c r="I45" s="259">
        <f>F45*AVERAGE(B45:E45)</f>
        <v/>
      </c>
    </row>
    <row r="46">
      <c r="A46" s="15" t="n">
        <v>43124</v>
      </c>
      <c r="B46" t="n">
        <v>158.98</v>
      </c>
      <c r="C46" t="n">
        <v>162.76</v>
      </c>
      <c r="D46" t="n">
        <v>157.02</v>
      </c>
      <c r="E46" t="n">
        <v>159.78</v>
      </c>
      <c r="F46" t="n">
        <v>115798400</v>
      </c>
      <c r="G46" s="18">
        <f>(AVERAGE(B46:E46)*F46)/F46</f>
        <v/>
      </c>
      <c r="H46" s="18">
        <f>AVERAGE(B46:E46)</f>
        <v/>
      </c>
      <c r="I46" s="259">
        <f>F46*AVERAGE(B46:E46)</f>
        <v/>
      </c>
    </row>
    <row r="47">
      <c r="A47" s="15" t="n">
        <v>43125</v>
      </c>
      <c r="B47" t="n">
        <v>163.5</v>
      </c>
      <c r="C47" t="n">
        <v>164.39</v>
      </c>
      <c r="D47" t="n">
        <v>157.82</v>
      </c>
      <c r="E47" t="n">
        <v>159.69</v>
      </c>
      <c r="F47" t="n">
        <v>108275300</v>
      </c>
      <c r="G47" s="18">
        <f>(AVERAGE(B47:E47)*F47)/F47</f>
        <v/>
      </c>
      <c r="H47" s="18">
        <f>AVERAGE(B47:E47)</f>
        <v/>
      </c>
      <c r="I47" s="259">
        <f>F47*AVERAGE(B47:E47)</f>
        <v/>
      </c>
    </row>
    <row r="48">
      <c r="A48" s="15" t="n">
        <v>43126</v>
      </c>
      <c r="B48" t="n">
        <v>162.45</v>
      </c>
      <c r="C48" t="n">
        <v>163.84</v>
      </c>
      <c r="D48" t="n">
        <v>158.28</v>
      </c>
      <c r="E48" t="n">
        <v>159.22</v>
      </c>
      <c r="F48" t="n">
        <v>121954600</v>
      </c>
      <c r="G48" s="18">
        <f>(AVERAGE(B48:E48)*F48)/F48</f>
        <v/>
      </c>
      <c r="H48" s="18">
        <f>AVERAGE(B48:E48)</f>
        <v/>
      </c>
      <c r="I48" s="259">
        <f>F48*AVERAGE(B48:E48)</f>
        <v/>
      </c>
    </row>
    <row r="49">
      <c r="A49" s="15" t="n">
        <v>43127</v>
      </c>
      <c r="B49" t="n">
        <v>165.71</v>
      </c>
      <c r="C49" t="n">
        <v>170.35</v>
      </c>
      <c r="D49" t="n">
        <v>162.8</v>
      </c>
      <c r="E49" t="n">
        <v>170.33</v>
      </c>
      <c r="F49" t="n">
        <v>179935700</v>
      </c>
      <c r="G49" s="18">
        <f>(AVERAGE(B49:E49)*F49)/F49</f>
        <v/>
      </c>
      <c r="H49" s="18">
        <f>AVERAGE(B49:E49)</f>
        <v/>
      </c>
      <c r="I49" s="259">
        <f>F49*AVERAGE(B49:E49)</f>
        <v/>
      </c>
    </row>
    <row r="50">
      <c r="A50" s="15" t="n">
        <v>43130</v>
      </c>
      <c r="B50" t="n">
        <v>170.16</v>
      </c>
      <c r="C50" t="n">
        <v>175</v>
      </c>
      <c r="D50" t="n">
        <v>169.51</v>
      </c>
      <c r="E50" t="n">
        <v>174.78</v>
      </c>
      <c r="F50" t="n">
        <v>115541600</v>
      </c>
      <c r="G50" s="18">
        <f>(AVERAGE(B50:E50)*F50)/F50</f>
        <v/>
      </c>
      <c r="H50" s="18">
        <f>AVERAGE(B50:E50)</f>
        <v/>
      </c>
      <c r="I50" s="259">
        <f>F50*AVERAGE(B50:E50)</f>
        <v/>
      </c>
    </row>
    <row r="51">
      <c r="A51" s="15" t="n">
        <v>43131</v>
      </c>
      <c r="B51" t="n">
        <v>174.01</v>
      </c>
      <c r="C51" t="n">
        <v>174.84</v>
      </c>
      <c r="D51" t="n">
        <v>172.31</v>
      </c>
      <c r="E51" t="n">
        <v>174.61</v>
      </c>
      <c r="F51" t="n">
        <v>86213900</v>
      </c>
      <c r="G51" s="18">
        <f>(AVERAGE(B51:E51)*F51)/F51</f>
        <v/>
      </c>
      <c r="H51" s="18">
        <f>AVERAGE(B51:E51)</f>
        <v/>
      </c>
      <c r="I51" s="259">
        <f>F51*AVERAGE(B51:E51)</f>
        <v/>
      </c>
    </row>
    <row r="52">
      <c r="A52" s="15" t="n">
        <v>43132</v>
      </c>
      <c r="B52" t="n">
        <v>174.75</v>
      </c>
      <c r="C52" t="n">
        <v>175.88</v>
      </c>
      <c r="D52" t="n">
        <v>173.33</v>
      </c>
      <c r="E52" t="n">
        <v>175.84</v>
      </c>
      <c r="F52" t="n">
        <v>84914300</v>
      </c>
      <c r="G52" s="18">
        <f>(AVERAGE(B52:E52)*F52)/F52</f>
        <v/>
      </c>
      <c r="H52" s="18">
        <f>AVERAGE(B52:E52)</f>
        <v/>
      </c>
      <c r="I52" s="259">
        <f>F52*AVERAGE(B52:E52)</f>
        <v/>
      </c>
    </row>
    <row r="53">
      <c r="A53" s="15" t="n">
        <v>43133</v>
      </c>
      <c r="B53" t="n">
        <v>174.48</v>
      </c>
      <c r="C53" t="n">
        <v>176.24</v>
      </c>
      <c r="D53" t="n">
        <v>172.12</v>
      </c>
      <c r="E53" t="n">
        <v>172.9</v>
      </c>
      <c r="F53" t="n">
        <v>89418100</v>
      </c>
      <c r="G53" s="18">
        <f>(AVERAGE(B53:E53)*F53)/F53</f>
        <v/>
      </c>
      <c r="H53" s="18">
        <f>AVERAGE(B53:E53)</f>
        <v/>
      </c>
      <c r="I53" s="259">
        <f>F53*AVERAGE(B53:E53)</f>
        <v/>
      </c>
    </row>
    <row r="54">
      <c r="A54" s="15" t="n">
        <v>43134</v>
      </c>
      <c r="B54" t="n">
        <v>171.68</v>
      </c>
      <c r="C54" t="n">
        <v>174.1</v>
      </c>
      <c r="D54" t="n">
        <v>170.68</v>
      </c>
      <c r="E54" t="n">
        <v>172.39</v>
      </c>
      <c r="F54" t="n">
        <v>82465400</v>
      </c>
      <c r="G54" s="18">
        <f>(AVERAGE(B54:E54)*F54)/F54</f>
        <v/>
      </c>
      <c r="H54" s="18">
        <f>AVERAGE(B54:E54)</f>
        <v/>
      </c>
      <c r="I54" s="259">
        <f>F54*AVERAGE(B54:E54)</f>
        <v/>
      </c>
    </row>
    <row r="55">
      <c r="A55" s="15" t="n">
        <v>43137</v>
      </c>
      <c r="B55" t="n">
        <v>172.86</v>
      </c>
      <c r="C55" t="n">
        <v>173.95</v>
      </c>
      <c r="D55" t="n">
        <v>170.95</v>
      </c>
      <c r="E55" t="n">
        <v>171.66</v>
      </c>
      <c r="F55" t="n">
        <v>77251200</v>
      </c>
      <c r="G55" s="18">
        <f>(AVERAGE(B55:E55)*F55)/F55</f>
        <v/>
      </c>
      <c r="H55" s="18">
        <f>AVERAGE(B55:E55)</f>
        <v/>
      </c>
      <c r="I55" s="259">
        <f>F55*AVERAGE(B55:E55)</f>
        <v/>
      </c>
    </row>
    <row r="56">
      <c r="A56" s="15" t="n">
        <v>43138</v>
      </c>
      <c r="B56" t="n">
        <v>171.73</v>
      </c>
      <c r="C56" t="n">
        <v>175.35</v>
      </c>
      <c r="D56" t="n">
        <v>171.43</v>
      </c>
      <c r="E56" t="n">
        <v>174.83</v>
      </c>
      <c r="F56" t="n">
        <v>74829200</v>
      </c>
      <c r="G56" s="18">
        <f>(AVERAGE(B56:E56)*F56)/F56</f>
        <v/>
      </c>
      <c r="H56" s="18">
        <f>AVERAGE(B56:E56)</f>
        <v/>
      </c>
      <c r="I56" s="259">
        <f>F56*AVERAGE(B56:E56)</f>
        <v/>
      </c>
    </row>
    <row r="57">
      <c r="A57" s="15" t="n">
        <v>43139</v>
      </c>
      <c r="B57" t="n">
        <v>176.05</v>
      </c>
      <c r="C57" t="n">
        <v>176.65</v>
      </c>
      <c r="D57" t="n">
        <v>174.9</v>
      </c>
      <c r="E57" t="n">
        <v>176.28</v>
      </c>
      <c r="F57" t="n">
        <v>71285000</v>
      </c>
      <c r="G57" s="18">
        <f>(AVERAGE(B57:E57)*F57)/F57</f>
        <v/>
      </c>
      <c r="H57" s="18">
        <f>AVERAGE(B57:E57)</f>
        <v/>
      </c>
      <c r="I57" s="259">
        <f>F57*AVERAGE(B57:E57)</f>
        <v/>
      </c>
    </row>
    <row r="58">
      <c r="A58" s="15" t="n">
        <v>43140</v>
      </c>
      <c r="B58" t="n">
        <v>174.14</v>
      </c>
      <c r="C58" t="n">
        <v>175.48</v>
      </c>
      <c r="D58" t="n">
        <v>171.55</v>
      </c>
      <c r="E58" t="n">
        <v>172.12</v>
      </c>
      <c r="F58" t="n">
        <v>90865900</v>
      </c>
      <c r="G58" s="18">
        <f>(AVERAGE(B58:E58)*F58)/F58</f>
        <v/>
      </c>
      <c r="H58" s="18">
        <f>AVERAGE(B58:E58)</f>
        <v/>
      </c>
      <c r="I58" s="259">
        <f>F58*AVERAGE(B58:E58)</f>
        <v/>
      </c>
    </row>
    <row r="59">
      <c r="A59" s="15" t="n">
        <v>43141</v>
      </c>
      <c r="B59" t="n">
        <v>172.33</v>
      </c>
      <c r="C59" t="n">
        <v>173.08</v>
      </c>
      <c r="D59" t="n">
        <v>168.04</v>
      </c>
      <c r="E59" t="n">
        <v>168.64</v>
      </c>
      <c r="F59" t="n">
        <v>98670700</v>
      </c>
      <c r="G59" s="18">
        <f>(AVERAGE(B59:E59)*F59)/F59</f>
        <v/>
      </c>
      <c r="H59" s="18">
        <f>AVERAGE(B59:E59)</f>
        <v/>
      </c>
      <c r="I59" s="259">
        <f>F59*AVERAGE(B59:E59)</f>
        <v/>
      </c>
    </row>
    <row r="60">
      <c r="A60" s="15" t="n">
        <v>43144</v>
      </c>
      <c r="B60" t="n">
        <v>167.37</v>
      </c>
      <c r="C60" t="n">
        <v>169.58</v>
      </c>
      <c r="D60" t="n">
        <v>166.56</v>
      </c>
      <c r="E60" t="n">
        <v>168.88</v>
      </c>
      <c r="F60" t="n">
        <v>86185500</v>
      </c>
      <c r="G60" s="18">
        <f>(AVERAGE(B60:E60)*F60)/F60</f>
        <v/>
      </c>
      <c r="H60" s="18">
        <f>AVERAGE(B60:E60)</f>
        <v/>
      </c>
      <c r="I60" s="259">
        <f>F60*AVERAGE(B60:E60)</f>
        <v/>
      </c>
    </row>
    <row r="61">
      <c r="A61" s="15" t="n">
        <v>43145</v>
      </c>
      <c r="B61" t="n">
        <v>170.97</v>
      </c>
      <c r="C61" t="n">
        <v>172.95</v>
      </c>
      <c r="D61" t="n">
        <v>170.25</v>
      </c>
      <c r="E61" t="n">
        <v>172.79</v>
      </c>
      <c r="F61" t="n">
        <v>62527400</v>
      </c>
      <c r="G61" s="18">
        <f>(AVERAGE(B61:E61)*F61)/F61</f>
        <v/>
      </c>
      <c r="H61" s="18">
        <f>AVERAGE(B61:E61)</f>
        <v/>
      </c>
      <c r="I61" s="259">
        <f>F61*AVERAGE(B61:E61)</f>
        <v/>
      </c>
    </row>
    <row r="62">
      <c r="A62" s="15" t="n">
        <v>43146</v>
      </c>
      <c r="B62" t="n">
        <v>171.85</v>
      </c>
      <c r="C62" t="n">
        <v>173.34</v>
      </c>
      <c r="D62" t="n">
        <v>170.05</v>
      </c>
      <c r="E62" t="n">
        <v>172.55</v>
      </c>
      <c r="F62" t="n">
        <v>61177400</v>
      </c>
      <c r="G62" s="18">
        <f>(AVERAGE(B62:E62)*F62)/F62</f>
        <v/>
      </c>
      <c r="H62" s="18">
        <f>AVERAGE(B62:E62)</f>
        <v/>
      </c>
      <c r="I62" s="259">
        <f>F62*AVERAGE(B62:E62)</f>
        <v/>
      </c>
    </row>
    <row r="63">
      <c r="A63" s="15" t="n">
        <v>43147</v>
      </c>
      <c r="B63" t="n">
        <v>171.03</v>
      </c>
      <c r="C63" t="n">
        <v>171.91</v>
      </c>
      <c r="D63" t="n">
        <v>168.47</v>
      </c>
      <c r="E63" t="n">
        <v>168.88</v>
      </c>
      <c r="F63" t="n">
        <v>69589300</v>
      </c>
      <c r="G63" s="18">
        <f>(AVERAGE(B63:E63)*F63)/F63</f>
        <v/>
      </c>
      <c r="H63" s="18">
        <f>AVERAGE(B63:E63)</f>
        <v/>
      </c>
      <c r="I63" s="259">
        <f>F63*AVERAGE(B63:E63)</f>
        <v/>
      </c>
    </row>
    <row r="64">
      <c r="A64" s="15" t="n">
        <v>43148</v>
      </c>
      <c r="B64" t="n">
        <v>169.82</v>
      </c>
      <c r="C64" t="n">
        <v>170.54</v>
      </c>
      <c r="D64" t="n">
        <v>166.19</v>
      </c>
      <c r="E64" t="n">
        <v>167.3</v>
      </c>
      <c r="F64" t="n">
        <v>82772700</v>
      </c>
      <c r="G64" s="18">
        <f>(AVERAGE(B64:E64)*F64)/F64</f>
        <v/>
      </c>
      <c r="H64" s="18">
        <f>AVERAGE(B64:E64)</f>
        <v/>
      </c>
      <c r="I64" s="259">
        <f>F64*AVERAGE(B64:E64)</f>
        <v/>
      </c>
    </row>
    <row r="65">
      <c r="A65" s="15" t="n">
        <v>43152</v>
      </c>
      <c r="B65" t="n">
        <v>164.98</v>
      </c>
      <c r="C65" t="n">
        <v>166.69</v>
      </c>
      <c r="D65" t="n">
        <v>162.15</v>
      </c>
      <c r="E65" t="n">
        <v>164.32</v>
      </c>
      <c r="F65" t="n">
        <v>91162800</v>
      </c>
      <c r="G65" s="18">
        <f>(AVERAGE(B65:E65)*F65)/F65</f>
        <v/>
      </c>
      <c r="H65" s="18">
        <f>AVERAGE(B65:E65)</f>
        <v/>
      </c>
      <c r="I65" s="259">
        <f>F65*AVERAGE(B65:E65)</f>
        <v/>
      </c>
    </row>
    <row r="66">
      <c r="A66" s="15" t="n">
        <v>43153</v>
      </c>
      <c r="B66" t="n">
        <v>165.54</v>
      </c>
      <c r="C66" t="n">
        <v>166.15</v>
      </c>
      <c r="D66" t="n">
        <v>159.75</v>
      </c>
      <c r="E66" t="n">
        <v>160.07</v>
      </c>
      <c r="F66" t="n">
        <v>90009200</v>
      </c>
      <c r="G66" s="18">
        <f>(AVERAGE(B66:E66)*F66)/F66</f>
        <v/>
      </c>
      <c r="H66" s="18">
        <f>AVERAGE(B66:E66)</f>
        <v/>
      </c>
      <c r="I66" s="259">
        <f>F66*AVERAGE(B66:E66)</f>
        <v/>
      </c>
    </row>
    <row r="67">
      <c r="A67" s="15" t="n">
        <v>43154</v>
      </c>
      <c r="B67" t="n">
        <v>152.58</v>
      </c>
      <c r="C67" t="n">
        <v>162.85</v>
      </c>
      <c r="D67" t="n">
        <v>152</v>
      </c>
      <c r="E67" t="n">
        <v>162.74</v>
      </c>
      <c r="F67" t="n">
        <v>141147500</v>
      </c>
      <c r="G67" s="18">
        <f>(AVERAGE(B67:E67)*F67)/F67</f>
        <v/>
      </c>
      <c r="H67" s="18">
        <f>AVERAGE(B67:E67)</f>
        <v/>
      </c>
      <c r="I67" s="259">
        <f>F67*AVERAGE(B67:E67)</f>
        <v/>
      </c>
    </row>
    <row r="68">
      <c r="A68" s="15" t="n">
        <v>43155</v>
      </c>
      <c r="B68" t="n">
        <v>163.84</v>
      </c>
      <c r="C68" t="n">
        <v>165.12</v>
      </c>
      <c r="D68" t="n">
        <v>160.87</v>
      </c>
      <c r="E68" t="n">
        <v>164.85</v>
      </c>
      <c r="F68" t="n">
        <v>91974200</v>
      </c>
      <c r="G68" s="18">
        <f>(AVERAGE(B68:E68)*F68)/F68</f>
        <v/>
      </c>
      <c r="H68" s="18">
        <f>AVERAGE(B68:E68)</f>
        <v/>
      </c>
      <c r="I68" s="259">
        <f>F68*AVERAGE(B68:E68)</f>
        <v/>
      </c>
    </row>
    <row r="69">
      <c r="A69" s="15" t="n">
        <v>43158</v>
      </c>
      <c r="B69" t="n">
        <v>163.06</v>
      </c>
      <c r="C69" t="n">
        <v>165.42</v>
      </c>
      <c r="D69" t="n">
        <v>162.43</v>
      </c>
      <c r="E69" t="n">
        <v>165.12</v>
      </c>
      <c r="F69" t="n">
        <v>95056600</v>
      </c>
      <c r="G69" s="18">
        <f>(AVERAGE(B69:E69)*F69)/F69</f>
        <v/>
      </c>
      <c r="H69" s="18">
        <f>AVERAGE(B69:E69)</f>
        <v/>
      </c>
      <c r="I69" s="259">
        <f>F69*AVERAGE(B69:E69)</f>
        <v/>
      </c>
    </row>
    <row r="70">
      <c r="A70" s="15" t="n">
        <v>43159</v>
      </c>
      <c r="B70" t="n">
        <v>164.7</v>
      </c>
      <c r="C70" t="n">
        <v>166.6</v>
      </c>
      <c r="D70" t="n">
        <v>161.97</v>
      </c>
      <c r="E70" t="n">
        <v>163.2</v>
      </c>
      <c r="F70" t="n">
        <v>83474400</v>
      </c>
      <c r="G70" s="18">
        <f>(AVERAGE(B70:E70)*F70)/F70</f>
        <v/>
      </c>
      <c r="H70" s="18">
        <f>AVERAGE(B70:E70)</f>
        <v/>
      </c>
      <c r="I70" s="259">
        <f>F70*AVERAGE(B70:E70)</f>
        <v/>
      </c>
    </row>
    <row r="71">
      <c r="A71" s="15" t="n">
        <v>43160</v>
      </c>
      <c r="B71" t="n">
        <v>164.39</v>
      </c>
      <c r="C71" t="n">
        <v>167.36</v>
      </c>
      <c r="D71" t="n">
        <v>162.95</v>
      </c>
      <c r="E71" t="n">
        <v>166.56</v>
      </c>
      <c r="F71" t="n">
        <v>79724800</v>
      </c>
      <c r="G71" s="18">
        <f>(AVERAGE(B71:E71)*F71)/F71</f>
        <v/>
      </c>
      <c r="H71" s="18">
        <f>AVERAGE(B71:E71)</f>
        <v/>
      </c>
      <c r="I71" s="259">
        <f>F71*AVERAGE(B71:E71)</f>
        <v/>
      </c>
    </row>
    <row r="72">
      <c r="A72" s="15" t="n">
        <v>43161</v>
      </c>
      <c r="B72" t="n">
        <v>168.47</v>
      </c>
      <c r="C72" t="n">
        <v>168.91</v>
      </c>
      <c r="D72" t="n">
        <v>165.55</v>
      </c>
      <c r="E72" t="n">
        <v>166.23</v>
      </c>
      <c r="F72" t="n">
        <v>76678400</v>
      </c>
      <c r="G72" s="18">
        <f>(AVERAGE(B72:E72)*F72)/F72</f>
        <v/>
      </c>
      <c r="H72" s="18">
        <f>AVERAGE(B72:E72)</f>
        <v/>
      </c>
      <c r="I72" s="259">
        <f>F72*AVERAGE(B72:E72)</f>
        <v/>
      </c>
    </row>
    <row r="73">
      <c r="A73" s="15" t="n">
        <v>43162</v>
      </c>
      <c r="B73" t="n">
        <v>164.49</v>
      </c>
      <c r="C73" t="n">
        <v>165.55</v>
      </c>
      <c r="D73" t="n">
        <v>162.1</v>
      </c>
      <c r="E73" t="n">
        <v>163.17</v>
      </c>
      <c r="F73" t="n">
        <v>83737200</v>
      </c>
      <c r="G73" s="18">
        <f>(AVERAGE(B73:E73)*F73)/F73</f>
        <v/>
      </c>
      <c r="H73" s="18">
        <f>AVERAGE(B73:E73)</f>
        <v/>
      </c>
      <c r="I73" s="259">
        <f>F73*AVERAGE(B73:E73)</f>
        <v/>
      </c>
    </row>
    <row r="74">
      <c r="A74" s="15" t="n">
        <v>43165</v>
      </c>
      <c r="B74" t="n">
        <v>163.36</v>
      </c>
      <c r="C74" t="n">
        <v>165.02</v>
      </c>
      <c r="D74" t="n">
        <v>159.04</v>
      </c>
      <c r="E74" t="n">
        <v>159.3</v>
      </c>
      <c r="F74" t="n">
        <v>96418800</v>
      </c>
      <c r="G74" s="18">
        <f>(AVERAGE(B74:E74)*F74)/F74</f>
        <v/>
      </c>
      <c r="H74" s="18">
        <f>AVERAGE(B74:E74)</f>
        <v/>
      </c>
      <c r="I74" s="259">
        <f>F74*AVERAGE(B74:E74)</f>
        <v/>
      </c>
    </row>
    <row r="75">
      <c r="A75" s="15" t="n">
        <v>43166</v>
      </c>
      <c r="B75" t="n">
        <v>158.82</v>
      </c>
      <c r="C75" t="n">
        <v>162.88</v>
      </c>
      <c r="D75" t="n">
        <v>155.8</v>
      </c>
      <c r="E75" t="n">
        <v>157.44</v>
      </c>
      <c r="F75" t="n">
        <v>131148300</v>
      </c>
      <c r="G75" s="18">
        <f>(AVERAGE(B75:E75)*F75)/F75</f>
        <v/>
      </c>
      <c r="H75" s="18">
        <f>AVERAGE(B75:E75)</f>
        <v/>
      </c>
      <c r="I75" s="259">
        <f>F75*AVERAGE(B75:E75)</f>
        <v/>
      </c>
    </row>
    <row r="76">
      <c r="A76" s="15" t="n">
        <v>43167</v>
      </c>
      <c r="B76" t="n">
        <v>161.48</v>
      </c>
      <c r="C76" t="n">
        <v>163.41</v>
      </c>
      <c r="D76" t="n">
        <v>159.41</v>
      </c>
      <c r="E76" t="n">
        <v>162.95</v>
      </c>
      <c r="F76" t="n">
        <v>91454900</v>
      </c>
      <c r="G76" s="18">
        <f>(AVERAGE(B76:E76)*F76)/F76</f>
        <v/>
      </c>
      <c r="H76" s="18">
        <f>AVERAGE(B76:E76)</f>
        <v/>
      </c>
      <c r="I76" s="259">
        <f>F76*AVERAGE(B76:E76)</f>
        <v/>
      </c>
    </row>
    <row r="77">
      <c r="A77" s="15" t="n">
        <v>43168</v>
      </c>
      <c r="B77" t="n">
        <v>160.2</v>
      </c>
      <c r="C77" t="n">
        <v>160.39</v>
      </c>
      <c r="D77" t="n">
        <v>155.98</v>
      </c>
      <c r="E77" t="n">
        <v>158.52</v>
      </c>
      <c r="F77" t="n">
        <v>105342000</v>
      </c>
      <c r="G77" s="18">
        <f>(AVERAGE(B77:E77)*F77)/F77</f>
        <v/>
      </c>
      <c r="H77" s="18">
        <f>AVERAGE(B77:E77)</f>
        <v/>
      </c>
      <c r="I77" s="259">
        <f>F77*AVERAGE(B77:E77)</f>
        <v/>
      </c>
    </row>
    <row r="78">
      <c r="A78" s="15" t="n">
        <v>43169</v>
      </c>
      <c r="B78" t="n">
        <v>158.93</v>
      </c>
      <c r="C78" t="n">
        <v>159.28</v>
      </c>
      <c r="D78" t="n">
        <v>154.5</v>
      </c>
      <c r="E78" t="n">
        <v>154.73</v>
      </c>
      <c r="F78" t="n">
        <v>96970100</v>
      </c>
      <c r="G78" s="18">
        <f>(AVERAGE(B78:E78)*F78)/F78</f>
        <v/>
      </c>
      <c r="H78" s="18">
        <f>AVERAGE(B78:E78)</f>
        <v/>
      </c>
      <c r="I78" s="259">
        <f>F78*AVERAGE(B78:E78)</f>
        <v/>
      </c>
    </row>
    <row r="79">
      <c r="A79" s="15" t="n">
        <v>43172</v>
      </c>
      <c r="B79" t="n">
        <v>151.45</v>
      </c>
      <c r="C79" t="n">
        <v>154.12</v>
      </c>
      <c r="D79" t="n">
        <v>150.1</v>
      </c>
      <c r="E79" t="n">
        <v>150.62</v>
      </c>
      <c r="F79" t="n">
        <v>108732100</v>
      </c>
      <c r="G79" s="18">
        <f>(AVERAGE(B79:E79)*F79)/F79</f>
        <v/>
      </c>
      <c r="H79" s="18">
        <f>AVERAGE(B79:E79)</f>
        <v/>
      </c>
      <c r="I79" s="259">
        <f>F79*AVERAGE(B79:E79)</f>
        <v/>
      </c>
    </row>
    <row r="80">
      <c r="A80" s="15" t="n">
        <v>43173</v>
      </c>
      <c r="B80" t="n">
        <v>150.9</v>
      </c>
      <c r="C80" t="n">
        <v>155.57</v>
      </c>
      <c r="D80" t="n">
        <v>150.38</v>
      </c>
      <c r="E80" t="n">
        <v>155.09</v>
      </c>
      <c r="F80" t="n">
        <v>92964300</v>
      </c>
      <c r="G80" s="18">
        <f>(AVERAGE(B80:E80)*F80)/F80</f>
        <v/>
      </c>
      <c r="H80" s="18">
        <f>AVERAGE(B80:E80)</f>
        <v/>
      </c>
      <c r="I80" s="259">
        <f>F80*AVERAGE(B80:E80)</f>
        <v/>
      </c>
    </row>
    <row r="81">
      <c r="A81" s="15" t="n">
        <v>43174</v>
      </c>
      <c r="B81" t="n">
        <v>157.05</v>
      </c>
      <c r="C81" t="n">
        <v>160</v>
      </c>
      <c r="D81" t="n">
        <v>154.46</v>
      </c>
      <c r="E81" t="n">
        <v>159.59</v>
      </c>
      <c r="F81" t="n">
        <v>102300200</v>
      </c>
      <c r="G81" s="18">
        <f>(AVERAGE(B81:E81)*F81)/F81</f>
        <v/>
      </c>
      <c r="H81" s="18">
        <f>AVERAGE(B81:E81)</f>
        <v/>
      </c>
      <c r="I81" s="259">
        <f>F81*AVERAGE(B81:E81)</f>
        <v/>
      </c>
    </row>
    <row r="82">
      <c r="A82" s="15" t="n">
        <v>43175</v>
      </c>
      <c r="B82" t="n">
        <v>158.61</v>
      </c>
      <c r="C82" t="n">
        <v>161</v>
      </c>
      <c r="D82" t="n">
        <v>157.63</v>
      </c>
      <c r="E82" t="n">
        <v>160.62</v>
      </c>
      <c r="F82" t="n">
        <v>75615400</v>
      </c>
      <c r="G82" s="18">
        <f>(AVERAGE(B82:E82)*F82)/F82</f>
        <v/>
      </c>
      <c r="H82" s="18">
        <f>AVERAGE(B82:E82)</f>
        <v/>
      </c>
      <c r="I82" s="259">
        <f>F82*AVERAGE(B82:E82)</f>
        <v/>
      </c>
    </row>
    <row r="83">
      <c r="A83" s="15" t="n">
        <v>43176</v>
      </c>
      <c r="B83" t="n">
        <v>160.51</v>
      </c>
      <c r="C83" t="n">
        <v>164.48</v>
      </c>
      <c r="D83" t="n">
        <v>159.76</v>
      </c>
      <c r="E83" t="n">
        <v>163.98</v>
      </c>
      <c r="F83" t="n">
        <v>123511700</v>
      </c>
      <c r="G83" s="18">
        <f>(AVERAGE(B83:E83)*F83)/F83</f>
        <v/>
      </c>
      <c r="H83" s="18">
        <f>AVERAGE(B83:E83)</f>
        <v/>
      </c>
      <c r="I83" s="259">
        <f>F83*AVERAGE(B83:E83)</f>
        <v/>
      </c>
    </row>
    <row r="84">
      <c r="A84" s="15" t="n">
        <v>43179</v>
      </c>
      <c r="B84" t="n">
        <v>163.51</v>
      </c>
      <c r="C84" t="n">
        <v>166.35</v>
      </c>
      <c r="D84" t="n">
        <v>163.01</v>
      </c>
      <c r="E84" t="n">
        <v>165.38</v>
      </c>
      <c r="F84" t="n">
        <v>95811400</v>
      </c>
      <c r="G84" s="18">
        <f>(AVERAGE(B84:E84)*F84)/F84</f>
        <v/>
      </c>
      <c r="H84" s="18">
        <f>AVERAGE(B84:E84)</f>
        <v/>
      </c>
      <c r="I84" s="259">
        <f>F84*AVERAGE(B84:E84)</f>
        <v/>
      </c>
    </row>
    <row r="85">
      <c r="A85" s="15" t="n">
        <v>43180</v>
      </c>
      <c r="B85" t="n">
        <v>165.51</v>
      </c>
      <c r="C85" t="n">
        <v>169.42</v>
      </c>
      <c r="D85" t="n">
        <v>164.91</v>
      </c>
      <c r="E85" t="n">
        <v>168.82</v>
      </c>
      <c r="F85" t="n">
        <v>81532000</v>
      </c>
      <c r="G85" s="18">
        <f>(AVERAGE(B85:E85)*F85)/F85</f>
        <v/>
      </c>
      <c r="H85" s="18">
        <f>AVERAGE(B85:E85)</f>
        <v/>
      </c>
      <c r="I85" s="259">
        <f>F85*AVERAGE(B85:E85)</f>
        <v/>
      </c>
    </row>
    <row r="86">
      <c r="A86" s="15" t="n">
        <v>43181</v>
      </c>
      <c r="B86" t="n">
        <v>167.99</v>
      </c>
      <c r="C86" t="n">
        <v>172.64</v>
      </c>
      <c r="D86" t="n">
        <v>167.65</v>
      </c>
      <c r="E86" t="n">
        <v>170.21</v>
      </c>
      <c r="F86" t="n">
        <v>98062700</v>
      </c>
      <c r="G86" s="18">
        <f>(AVERAGE(B86:E86)*F86)/F86</f>
        <v/>
      </c>
      <c r="H86" s="18">
        <f>AVERAGE(B86:E86)</f>
        <v/>
      </c>
      <c r="I86" s="259">
        <f>F86*AVERAGE(B86:E86)</f>
        <v/>
      </c>
    </row>
    <row r="87">
      <c r="A87" s="15" t="n">
        <v>43182</v>
      </c>
      <c r="B87" t="n">
        <v>171.06</v>
      </c>
      <c r="C87" t="n">
        <v>174.14</v>
      </c>
      <c r="D87" t="n">
        <v>170.21</v>
      </c>
      <c r="E87" t="n">
        <v>174.07</v>
      </c>
      <c r="F87" t="n">
        <v>90131400</v>
      </c>
      <c r="G87" s="18">
        <f>(AVERAGE(B87:E87)*F87)/F87</f>
        <v/>
      </c>
      <c r="H87" s="18">
        <f>AVERAGE(B87:E87)</f>
        <v/>
      </c>
      <c r="I87" s="259">
        <f>F87*AVERAGE(B87:E87)</f>
        <v/>
      </c>
    </row>
    <row r="88">
      <c r="A88" s="15" t="n">
        <v>43183</v>
      </c>
      <c r="B88" t="n">
        <v>173.88</v>
      </c>
      <c r="C88" t="n">
        <v>175.28</v>
      </c>
      <c r="D88" t="n">
        <v>172.75</v>
      </c>
      <c r="E88" t="n">
        <v>174.72</v>
      </c>
      <c r="F88" t="n">
        <v>80546200</v>
      </c>
      <c r="G88" s="18">
        <f>(AVERAGE(B88:E88)*F88)/F88</f>
        <v/>
      </c>
      <c r="H88" s="18">
        <f>AVERAGE(B88:E88)</f>
        <v/>
      </c>
      <c r="I88" s="259">
        <f>F88*AVERAGE(B88:E88)</f>
        <v/>
      </c>
    </row>
    <row r="89">
      <c r="A89" s="15" t="n">
        <v>43186</v>
      </c>
      <c r="B89" t="n">
        <v>172.17</v>
      </c>
      <c r="C89" t="n">
        <v>175.73</v>
      </c>
      <c r="D89" t="n">
        <v>172</v>
      </c>
      <c r="E89" t="n">
        <v>175.6</v>
      </c>
      <c r="F89" t="n">
        <v>90371900</v>
      </c>
      <c r="G89" s="18">
        <f>(AVERAGE(B89:E89)*F89)/F89</f>
        <v/>
      </c>
      <c r="H89" s="18">
        <f>AVERAGE(B89:E89)</f>
        <v/>
      </c>
      <c r="I89" s="259">
        <f>F89*AVERAGE(B89:E89)</f>
        <v/>
      </c>
    </row>
    <row r="90">
      <c r="A90" s="15" t="n">
        <v>43187</v>
      </c>
      <c r="B90" t="n">
        <v>176.69</v>
      </c>
      <c r="C90" t="n">
        <v>179.01</v>
      </c>
      <c r="D90" t="n">
        <v>176.34</v>
      </c>
      <c r="E90" t="n">
        <v>178.96</v>
      </c>
      <c r="F90" t="n">
        <v>100589400</v>
      </c>
      <c r="G90" s="18">
        <f>(AVERAGE(B90:E90)*F90)/F90</f>
        <v/>
      </c>
      <c r="H90" s="18">
        <f>AVERAGE(B90:E90)</f>
        <v/>
      </c>
      <c r="I90" s="259">
        <f>F90*AVERAGE(B90:E90)</f>
        <v/>
      </c>
    </row>
    <row r="91">
      <c r="A91" s="15" t="n">
        <v>43188</v>
      </c>
      <c r="B91" t="n">
        <v>178.55</v>
      </c>
      <c r="C91" t="n">
        <v>179.61</v>
      </c>
      <c r="D91" t="n">
        <v>176.7</v>
      </c>
      <c r="E91" t="n">
        <v>177.77</v>
      </c>
      <c r="F91" t="n">
        <v>92633200</v>
      </c>
      <c r="G91" s="18">
        <f>(AVERAGE(B91:E91)*F91)/F91</f>
        <v/>
      </c>
      <c r="H91" s="18">
        <f>AVERAGE(B91:E91)</f>
        <v/>
      </c>
      <c r="I91" s="259">
        <f>F91*AVERAGE(B91:E91)</f>
        <v/>
      </c>
    </row>
    <row r="92">
      <c r="A92" s="15" t="n">
        <v>43189</v>
      </c>
      <c r="B92" t="n">
        <v>177.84</v>
      </c>
      <c r="C92" t="n">
        <v>178.03</v>
      </c>
      <c r="D92" t="n">
        <v>174.4</v>
      </c>
      <c r="E92" t="n">
        <v>174.61</v>
      </c>
      <c r="F92" t="n">
        <v>103049300</v>
      </c>
      <c r="G92" s="18">
        <f>(AVERAGE(B92:E92)*F92)/F92</f>
        <v/>
      </c>
      <c r="H92" s="18">
        <f>AVERAGE(B92:E92)</f>
        <v/>
      </c>
      <c r="I92" s="259">
        <f>F92*AVERAGE(B92:E92)</f>
        <v/>
      </c>
    </row>
    <row r="93">
      <c r="A93" s="15" t="n">
        <v>43190</v>
      </c>
      <c r="B93" t="n">
        <v>174.03</v>
      </c>
      <c r="C93" t="n">
        <v>174.88</v>
      </c>
      <c r="D93" t="n">
        <v>171.94</v>
      </c>
      <c r="E93" t="n">
        <v>174.31</v>
      </c>
      <c r="F93" t="n">
        <v>78751300</v>
      </c>
      <c r="G93" s="18">
        <f>(AVERAGE(B93:E93)*F93)/F93</f>
        <v/>
      </c>
      <c r="H93" s="18">
        <f>AVERAGE(B93:E93)</f>
        <v/>
      </c>
      <c r="I93" s="259">
        <f>F93*AVERAGE(B93:E93)</f>
        <v/>
      </c>
    </row>
    <row r="94">
      <c r="A94" s="15" t="n">
        <v>43193</v>
      </c>
      <c r="B94" t="n">
        <v>174.57</v>
      </c>
      <c r="C94" t="n">
        <v>178.49</v>
      </c>
      <c r="D94" t="n">
        <v>174.44</v>
      </c>
      <c r="E94" t="n">
        <v>178.44</v>
      </c>
      <c r="F94" t="n">
        <v>76468400</v>
      </c>
      <c r="G94" s="18">
        <f>(AVERAGE(B94:E94)*F94)/F94</f>
        <v/>
      </c>
      <c r="H94" s="18">
        <f>AVERAGE(B94:E94)</f>
        <v/>
      </c>
      <c r="I94" s="259">
        <f>F94*AVERAGE(B94:E94)</f>
        <v/>
      </c>
      <c r="J94" s="260" t="n"/>
      <c r="K94" s="15" t="n"/>
    </row>
    <row r="95">
      <c r="A95" s="15" t="n">
        <v>43194</v>
      </c>
      <c r="B95" t="n">
        <v>177.5</v>
      </c>
      <c r="C95" t="n">
        <v>178.3</v>
      </c>
      <c r="D95" t="n">
        <v>174.42</v>
      </c>
      <c r="E95" t="n">
        <v>175.06</v>
      </c>
      <c r="F95" t="n">
        <v>73401800</v>
      </c>
      <c r="G95" s="18">
        <f>(AVERAGE(B95:E95)*F95)/F95</f>
        <v/>
      </c>
      <c r="H95" s="18">
        <f>AVERAGE(B95:E95)</f>
        <v/>
      </c>
      <c r="I95" s="259">
        <f>F94*AVERAGE(B94:E94)</f>
        <v/>
      </c>
    </row>
    <row r="96">
      <c r="A96" s="15" t="n">
        <v>43195</v>
      </c>
      <c r="B96" t="n">
        <v>172.36</v>
      </c>
      <c r="C96" t="n">
        <v>173.63</v>
      </c>
      <c r="D96" t="n">
        <v>170.13</v>
      </c>
      <c r="E96" t="n">
        <v>171.83</v>
      </c>
      <c r="F96" t="n">
        <v>89058800</v>
      </c>
      <c r="G96" s="18">
        <f>(AVERAGE(B96:E96)*F96)/F96</f>
        <v/>
      </c>
      <c r="H96" s="18">
        <f>AVERAGE(B96:E96)</f>
        <v/>
      </c>
      <c r="I96" s="259">
        <f>F95*AVERAGE(B95:E95)</f>
        <v/>
      </c>
    </row>
    <row r="97">
      <c r="A97" s="15" t="n">
        <v>43196</v>
      </c>
      <c r="B97" t="n">
        <v>171.16</v>
      </c>
      <c r="C97" t="n">
        <v>173.36</v>
      </c>
      <c r="D97" t="n">
        <v>169.85</v>
      </c>
      <c r="E97" t="n">
        <v>172.14</v>
      </c>
      <c r="F97" t="n">
        <v>77594700</v>
      </c>
      <c r="G97" s="18">
        <f>(AVERAGE(B97:E97)*F97)/F97</f>
        <v/>
      </c>
      <c r="H97" s="18">
        <f>AVERAGE(B97:E97)</f>
        <v/>
      </c>
      <c r="I97" s="259">
        <f>F96*AVERAGE(B96:E96)</f>
        <v/>
      </c>
    </row>
    <row r="98">
      <c r="A98" s="15" t="n">
        <v>43197</v>
      </c>
      <c r="B98" t="n">
        <v>171.78</v>
      </c>
      <c r="C98" t="n">
        <v>171.78</v>
      </c>
      <c r="D98" t="n">
        <v>169.2</v>
      </c>
      <c r="E98" t="n">
        <v>170.09</v>
      </c>
      <c r="F98" t="n">
        <v>76575500</v>
      </c>
      <c r="G98" s="18">
        <f>(AVERAGE(B98:E98)*F98)/F98</f>
        <v/>
      </c>
      <c r="H98" s="18">
        <f>AVERAGE(B98:E98)</f>
        <v/>
      </c>
      <c r="I98" s="259">
        <f>F97*AVERAGE(B97:E97)</f>
        <v/>
      </c>
    </row>
    <row r="99">
      <c r="A99" s="15" t="n">
        <v>43200</v>
      </c>
      <c r="B99" t="n">
        <v>168.71</v>
      </c>
      <c r="C99" t="n">
        <v>169.03</v>
      </c>
      <c r="D99" t="n">
        <v>165.5</v>
      </c>
      <c r="E99" t="n">
        <v>165.75</v>
      </c>
      <c r="F99" t="n">
        <v>72246700</v>
      </c>
      <c r="G99" s="18">
        <f>(AVERAGE(B99:E99)*F99)/F99</f>
        <v/>
      </c>
      <c r="H99" s="18">
        <f>AVERAGE(B99:E99)</f>
        <v/>
      </c>
      <c r="I99" s="259">
        <f>F98*AVERAGE(B98:E98)</f>
        <v/>
      </c>
    </row>
    <row r="100">
      <c r="A100" s="15" t="n">
        <v>43201</v>
      </c>
      <c r="B100" t="n">
        <v>168.02</v>
      </c>
      <c r="C100" t="n">
        <v>169.87</v>
      </c>
      <c r="D100" t="n">
        <v>166.64</v>
      </c>
      <c r="E100" t="n">
        <v>167.66</v>
      </c>
      <c r="F100" t="n">
        <v>79265200</v>
      </c>
      <c r="G100" s="18">
        <f>(AVERAGE(B100:E100)*F100)/F100</f>
        <v/>
      </c>
      <c r="H100" s="18">
        <f>AVERAGE(B100:E100)</f>
        <v/>
      </c>
      <c r="I100" s="259">
        <f>F99*AVERAGE(B99:E99)</f>
        <v/>
      </c>
    </row>
    <row r="101">
      <c r="A101" s="15" t="n">
        <v>43202</v>
      </c>
      <c r="B101" t="n">
        <v>167.39</v>
      </c>
      <c r="C101" t="n">
        <v>171.04</v>
      </c>
      <c r="D101" t="n">
        <v>166.77</v>
      </c>
      <c r="E101" t="n">
        <v>170.4</v>
      </c>
      <c r="F101" t="n">
        <v>70618900</v>
      </c>
      <c r="G101" s="18">
        <f>(AVERAGE(B101:E101)*F101)/F101</f>
        <v/>
      </c>
      <c r="H101" s="18">
        <f>AVERAGE(B101:E101)</f>
        <v/>
      </c>
      <c r="I101" s="259">
        <f>F100*AVERAGE(B100:E100)</f>
        <v/>
      </c>
    </row>
    <row r="102">
      <c r="A102" s="15" t="n">
        <v>43203</v>
      </c>
      <c r="B102" t="n">
        <v>170.62</v>
      </c>
      <c r="C102" t="n">
        <v>171.27</v>
      </c>
      <c r="D102" t="n">
        <v>165.04</v>
      </c>
      <c r="E102" t="n">
        <v>165.29</v>
      </c>
      <c r="F102" t="n">
        <v>75329400</v>
      </c>
      <c r="G102" s="18">
        <f>(AVERAGE(B102:E102)*F102)/F102</f>
        <v/>
      </c>
      <c r="H102" s="18">
        <f>AVERAGE(B102:E102)</f>
        <v/>
      </c>
      <c r="I102" s="259">
        <f>F101*AVERAGE(B101:E101)</f>
        <v/>
      </c>
    </row>
    <row r="103">
      <c r="A103" s="15" t="n">
        <v>43207</v>
      </c>
      <c r="B103" t="n">
        <v>163.92</v>
      </c>
      <c r="C103" t="n">
        <v>166.6</v>
      </c>
      <c r="D103" t="n">
        <v>163.57</v>
      </c>
      <c r="E103" t="n">
        <v>165.07</v>
      </c>
      <c r="F103" t="n">
        <v>69023900</v>
      </c>
      <c r="G103" s="18">
        <f>(AVERAGE(B103:E103)*F103)/F103</f>
        <v/>
      </c>
      <c r="H103" s="18">
        <f>AVERAGE(B103:E103)</f>
        <v/>
      </c>
      <c r="I103" s="259">
        <f>F102*AVERAGE(B102:E102)</f>
        <v/>
      </c>
    </row>
    <row r="104">
      <c r="A104" s="15" t="n">
        <v>43208</v>
      </c>
      <c r="B104" t="n">
        <v>165.02</v>
      </c>
      <c r="C104" t="n">
        <v>167.82</v>
      </c>
      <c r="D104" t="n">
        <v>163.91</v>
      </c>
      <c r="E104" t="n">
        <v>167.4</v>
      </c>
      <c r="F104" t="n">
        <v>67723800</v>
      </c>
      <c r="G104" s="18">
        <f>(AVERAGE(B104:E104)*F104)/F104</f>
        <v/>
      </c>
      <c r="H104" s="18">
        <f>AVERAGE(B104:E104)</f>
        <v/>
      </c>
      <c r="I104" s="259">
        <f>F103*AVERAGE(B103:E103)</f>
        <v/>
      </c>
    </row>
    <row r="105">
      <c r="A105" s="15" t="n">
        <v>43209</v>
      </c>
      <c r="B105" t="n">
        <v>168.76</v>
      </c>
      <c r="C105" t="n">
        <v>168.88</v>
      </c>
      <c r="D105" t="n">
        <v>166.1</v>
      </c>
      <c r="E105" t="n">
        <v>167.23</v>
      </c>
      <c r="F105" t="n">
        <v>67929800</v>
      </c>
      <c r="G105" s="18">
        <f>(AVERAGE(B105:E105)*F105)/F105</f>
        <v/>
      </c>
      <c r="H105" s="18">
        <f>AVERAGE(B105:E105)</f>
        <v/>
      </c>
      <c r="I105" s="259">
        <f>F104*AVERAGE(B104:E104)</f>
        <v/>
      </c>
    </row>
    <row r="106">
      <c r="A106" s="15" t="n">
        <v>43210</v>
      </c>
      <c r="B106" t="n">
        <v>168.91</v>
      </c>
      <c r="C106" t="n">
        <v>171.53</v>
      </c>
      <c r="D106" t="n">
        <v>165.91</v>
      </c>
      <c r="E106" t="n">
        <v>166.42</v>
      </c>
      <c r="F106" t="n">
        <v>87227800</v>
      </c>
      <c r="G106" s="18">
        <f>(AVERAGE(B106:E106)*F106)/F106</f>
        <v/>
      </c>
      <c r="H106" s="18">
        <f>AVERAGE(B106:E106)</f>
        <v/>
      </c>
      <c r="I106" s="259">
        <f>F105*AVERAGE(B105:E105)</f>
        <v/>
      </c>
    </row>
    <row r="107">
      <c r="A107" s="15" t="n">
        <v>43211</v>
      </c>
      <c r="B107" t="n">
        <v>166.46</v>
      </c>
      <c r="C107" t="n">
        <v>167.87</v>
      </c>
      <c r="D107" t="n">
        <v>161.5</v>
      </c>
      <c r="E107" t="n">
        <v>161.79</v>
      </c>
      <c r="F107" t="n">
        <v>84882400</v>
      </c>
      <c r="G107" s="18">
        <f>(AVERAGE(B107:E107)*F107)/F107</f>
        <v/>
      </c>
      <c r="H107" s="18">
        <f>AVERAGE(B107:E107)</f>
        <v/>
      </c>
      <c r="I107" s="259">
        <f>F106*AVERAGE(B106:E106)</f>
        <v/>
      </c>
    </row>
    <row r="108">
      <c r="A108" s="15" t="n">
        <v>43214</v>
      </c>
      <c r="B108" t="n">
        <v>161.12</v>
      </c>
      <c r="C108" t="n">
        <v>163.17</v>
      </c>
      <c r="D108" t="n">
        <v>158.46</v>
      </c>
      <c r="E108" t="n">
        <v>162.88</v>
      </c>
      <c r="F108" t="n">
        <v>96046400</v>
      </c>
      <c r="G108" s="18">
        <f>(AVERAGE(B108:E108)*F108)/F108</f>
        <v/>
      </c>
      <c r="H108" s="18">
        <f>AVERAGE(B108:E108)</f>
        <v/>
      </c>
      <c r="I108" s="259">
        <f>F107*AVERAGE(B107:E107)</f>
        <v/>
      </c>
    </row>
    <row r="109">
      <c r="A109" s="15" t="n">
        <v>43215</v>
      </c>
      <c r="B109" t="n">
        <v>162.25</v>
      </c>
      <c r="C109" t="n">
        <v>162.34</v>
      </c>
      <c r="D109" t="n">
        <v>156.72</v>
      </c>
      <c r="E109" t="n">
        <v>156.8</v>
      </c>
      <c r="F109" t="n">
        <v>95623200</v>
      </c>
      <c r="G109" s="18">
        <f>(AVERAGE(B109:E109)*F109)/F109</f>
        <v/>
      </c>
      <c r="H109" s="18">
        <f>AVERAGE(B109:E109)</f>
        <v/>
      </c>
      <c r="I109" s="259">
        <f>F108*AVERAGE(B108:E108)</f>
        <v/>
      </c>
    </row>
    <row r="110">
      <c r="A110" s="15" t="n">
        <v>43216</v>
      </c>
      <c r="B110" t="n">
        <v>155.91</v>
      </c>
      <c r="C110" t="n">
        <v>159.79</v>
      </c>
      <c r="D110" t="n">
        <v>155.38</v>
      </c>
      <c r="E110" t="n">
        <v>156.57</v>
      </c>
      <c r="F110" t="n">
        <v>88063200</v>
      </c>
      <c r="G110" s="18">
        <f>(AVERAGE(B110:E110)*F110)/F110</f>
        <v/>
      </c>
      <c r="H110" s="18">
        <f>AVERAGE(B110:E110)</f>
        <v/>
      </c>
      <c r="I110" s="259">
        <f>F109*AVERAGE(B109:E109)</f>
        <v/>
      </c>
    </row>
    <row r="111">
      <c r="A111" s="15" t="n">
        <v>43217</v>
      </c>
      <c r="B111" t="n">
        <v>159.25</v>
      </c>
      <c r="C111" t="n">
        <v>164.52</v>
      </c>
      <c r="D111" t="n">
        <v>158.93</v>
      </c>
      <c r="E111" t="n">
        <v>163.64</v>
      </c>
      <c r="F111" t="n">
        <v>130216800</v>
      </c>
      <c r="G111" s="18">
        <f>(AVERAGE(B111:E111)*F111)/F111</f>
        <v/>
      </c>
      <c r="H111" s="18">
        <f>AVERAGE(B111:E111)</f>
        <v/>
      </c>
      <c r="I111" s="259">
        <f>F110*AVERAGE(B110:E110)</f>
        <v/>
      </c>
    </row>
    <row r="112">
      <c r="A112" s="15" t="n">
        <v>43218</v>
      </c>
      <c r="B112" t="n">
        <v>161.84</v>
      </c>
      <c r="C112" t="n">
        <v>166.2</v>
      </c>
      <c r="D112" t="n">
        <v>157.25</v>
      </c>
      <c r="E112" t="n">
        <v>157.65</v>
      </c>
      <c r="F112" t="n">
        <v>131587100</v>
      </c>
      <c r="G112" s="18">
        <f>(AVERAGE(B112:E112)*F112)/F112</f>
        <v/>
      </c>
      <c r="H112" s="18">
        <f>AVERAGE(B112:E112)</f>
        <v/>
      </c>
      <c r="I112" s="259">
        <f>F111*AVERAGE(B111:E111)</f>
        <v/>
      </c>
    </row>
    <row r="113">
      <c r="A113" s="15" t="n">
        <v>43221</v>
      </c>
      <c r="B113" t="n">
        <v>156.71</v>
      </c>
      <c r="C113" t="n">
        <v>158.23</v>
      </c>
      <c r="D113" t="n">
        <v>153.27</v>
      </c>
      <c r="E113" t="n">
        <v>157.96</v>
      </c>
      <c r="F113" t="n">
        <v>123055300</v>
      </c>
      <c r="G113" s="18">
        <f>(AVERAGE(B113:E113)*F113)/F113</f>
        <v/>
      </c>
      <c r="H113" s="18">
        <f>AVERAGE(B113:E113)</f>
        <v/>
      </c>
      <c r="I113" s="259">
        <f>F112*AVERAGE(B112:E112)</f>
        <v/>
      </c>
    </row>
    <row r="114">
      <c r="A114" s="15" t="n">
        <v>43222</v>
      </c>
      <c r="B114" t="n">
        <v>158.15</v>
      </c>
      <c r="C114" t="n">
        <v>160.71</v>
      </c>
      <c r="D114" t="n">
        <v>156.32</v>
      </c>
      <c r="E114" t="n">
        <v>159.48</v>
      </c>
      <c r="F114" t="n">
        <v>88966500</v>
      </c>
      <c r="G114" s="18">
        <f>(AVERAGE(B114:E114)*F114)/F114</f>
        <v/>
      </c>
      <c r="H114" s="18">
        <f>AVERAGE(B114:E114)</f>
        <v/>
      </c>
      <c r="I114" s="259">
        <f>F113*AVERAGE(B113:E113)</f>
        <v/>
      </c>
    </row>
    <row r="115">
      <c r="A115" s="15" t="n">
        <v>43223</v>
      </c>
      <c r="B115" t="n">
        <v>159.67</v>
      </c>
      <c r="C115" t="n">
        <v>166.48</v>
      </c>
      <c r="D115" t="n">
        <v>159.26</v>
      </c>
      <c r="E115" t="n">
        <v>166.02</v>
      </c>
      <c r="F115" t="n">
        <v>108256500</v>
      </c>
      <c r="G115" s="18">
        <f>(AVERAGE(B115:E115)*F115)/F115</f>
        <v/>
      </c>
      <c r="H115" s="18">
        <f>AVERAGE(B115:E115)</f>
        <v/>
      </c>
      <c r="I115" s="259">
        <f>F114*AVERAGE(B114:E114)</f>
        <v/>
      </c>
    </row>
    <row r="116">
      <c r="A116" s="15" t="n">
        <v>43224</v>
      </c>
      <c r="B116" t="n">
        <v>163.85</v>
      </c>
      <c r="C116" t="n">
        <v>164.08</v>
      </c>
      <c r="D116" t="n">
        <v>154.95</v>
      </c>
      <c r="E116" t="n">
        <v>156.77</v>
      </c>
      <c r="F116" t="n">
        <v>130525300</v>
      </c>
      <c r="G116" s="18">
        <f>(AVERAGE(B116:E116)*F116)/F116</f>
        <v/>
      </c>
      <c r="H116" s="18">
        <f>AVERAGE(B116:E116)</f>
        <v/>
      </c>
      <c r="I116" s="259">
        <f>F115*AVERAGE(B115:E115)</f>
        <v/>
      </c>
    </row>
    <row r="117">
      <c r="A117" s="15" t="n">
        <v>43225</v>
      </c>
      <c r="B117" t="n">
        <v>156.01</v>
      </c>
      <c r="C117" t="n">
        <v>159.44</v>
      </c>
      <c r="D117" t="n">
        <v>154.18</v>
      </c>
      <c r="E117" t="n">
        <v>157.28</v>
      </c>
      <c r="F117" t="n">
        <v>116055700</v>
      </c>
      <c r="G117" s="18">
        <f>(AVERAGE(B117:E117)*F117)/F117</f>
        <v/>
      </c>
      <c r="H117" s="18">
        <f>AVERAGE(B117:E117)</f>
        <v/>
      </c>
      <c r="I117" s="259">
        <f>F116*AVERAGE(B116:E116)</f>
        <v/>
      </c>
    </row>
    <row r="118">
      <c r="A118" s="15" t="n">
        <v>43228</v>
      </c>
      <c r="B118" t="n">
        <v>154.93</v>
      </c>
      <c r="C118" t="n">
        <v>155.83</v>
      </c>
      <c r="D118" t="n">
        <v>151.49</v>
      </c>
      <c r="E118" t="n">
        <v>152.06</v>
      </c>
      <c r="F118" t="n">
        <v>131577900</v>
      </c>
      <c r="G118" s="18">
        <f>(AVERAGE(B118:E118)*F118)/F118</f>
        <v/>
      </c>
      <c r="H118" s="18">
        <f>AVERAGE(B118:E118)</f>
        <v/>
      </c>
      <c r="I118" s="259">
        <f>F117*AVERAGE(B117:E117)</f>
        <v/>
      </c>
    </row>
    <row r="119">
      <c r="A119" s="15" t="n">
        <v>43229</v>
      </c>
      <c r="B119" t="n">
        <v>155.52</v>
      </c>
      <c r="C119" t="n">
        <v>156.74</v>
      </c>
      <c r="D119" t="n">
        <v>152.93</v>
      </c>
      <c r="E119" t="n">
        <v>154.51</v>
      </c>
      <c r="F119" t="n">
        <v>115366700</v>
      </c>
      <c r="G119" s="18">
        <f>(AVERAGE(B119:E119)*F119)/F119</f>
        <v/>
      </c>
      <c r="H119" s="18">
        <f>AVERAGE(B119:E119)</f>
        <v/>
      </c>
      <c r="I119" s="259">
        <f>F118*AVERAGE(B118:E118)</f>
        <v/>
      </c>
    </row>
    <row r="120">
      <c r="A120" s="15" t="n">
        <v>43230</v>
      </c>
      <c r="B120" t="n">
        <v>153.5</v>
      </c>
      <c r="C120" t="n">
        <v>155.45</v>
      </c>
      <c r="D120" t="n">
        <v>145.81</v>
      </c>
      <c r="E120" t="n">
        <v>146.5</v>
      </c>
      <c r="F120" t="n">
        <v>142689800</v>
      </c>
      <c r="G120" s="18">
        <f>(AVERAGE(B120:E120)*F120)/F120</f>
        <v/>
      </c>
      <c r="H120" s="18">
        <f>AVERAGE(B120:E120)</f>
        <v/>
      </c>
      <c r="I120" s="259">
        <f>F119*AVERAGE(B119:E119)</f>
        <v/>
      </c>
    </row>
    <row r="121">
      <c r="A121" s="15" t="n">
        <v>43231</v>
      </c>
      <c r="B121" t="n">
        <v>142.77</v>
      </c>
      <c r="C121" t="n">
        <v>146.2</v>
      </c>
      <c r="D121" t="n">
        <v>138.8</v>
      </c>
      <c r="E121" t="n">
        <v>142.56</v>
      </c>
      <c r="F121" t="n">
        <v>182602000</v>
      </c>
      <c r="G121" s="18">
        <f>(AVERAGE(B121:E121)*F121)/F121</f>
        <v/>
      </c>
      <c r="H121" s="18">
        <f>AVERAGE(B121:E121)</f>
        <v/>
      </c>
      <c r="I121" s="259">
        <f>F120*AVERAGE(B120:E120)</f>
        <v/>
      </c>
    </row>
    <row r="122">
      <c r="A122" s="15" t="n">
        <v>43232</v>
      </c>
      <c r="B122" t="n">
        <v>144.59</v>
      </c>
      <c r="C122" t="n">
        <v>148.1</v>
      </c>
      <c r="D122" t="n">
        <v>143.11</v>
      </c>
      <c r="E122" t="n">
        <v>147.11</v>
      </c>
      <c r="F122" t="n">
        <v>113787000</v>
      </c>
      <c r="G122" s="18">
        <f>(AVERAGE(B122:E122)*F122)/F122</f>
        <v/>
      </c>
      <c r="H122" s="18">
        <f>AVERAGE(B122:E122)</f>
        <v/>
      </c>
      <c r="I122" s="259">
        <f>F121*AVERAGE(B121:E121)</f>
        <v/>
      </c>
    </row>
    <row r="123">
      <c r="A123" s="15" t="n">
        <v>43235</v>
      </c>
      <c r="B123" t="n">
        <v>145.55</v>
      </c>
      <c r="C123" t="n">
        <v>147.52</v>
      </c>
      <c r="D123" t="n">
        <v>144.18</v>
      </c>
      <c r="E123" t="n">
        <v>145.54</v>
      </c>
      <c r="F123" t="n">
        <v>86643800</v>
      </c>
      <c r="G123" s="18">
        <f>(AVERAGE(B123:E123)*F123)/F123</f>
        <v/>
      </c>
      <c r="H123" s="18">
        <f>AVERAGE(B123:E123)</f>
        <v/>
      </c>
      <c r="I123" s="259">
        <f>F122*AVERAGE(B122:E122)</f>
        <v/>
      </c>
    </row>
    <row r="124">
      <c r="A124" s="15" t="n">
        <v>43236</v>
      </c>
      <c r="B124" t="n">
        <v>148.86</v>
      </c>
      <c r="C124" t="n">
        <v>149.77</v>
      </c>
      <c r="D124" t="n">
        <v>146.68</v>
      </c>
      <c r="E124" t="n">
        <v>149.24</v>
      </c>
      <c r="F124" t="n">
        <v>78336300</v>
      </c>
      <c r="G124" s="18">
        <f>(AVERAGE(B124:E124)*F124)/F124</f>
        <v/>
      </c>
      <c r="H124" s="18">
        <f>AVERAGE(B124:E124)</f>
        <v/>
      </c>
      <c r="I124" s="259">
        <f>F123*AVERAGE(B123:E123)</f>
        <v/>
      </c>
    </row>
    <row r="125">
      <c r="A125" s="15" t="n">
        <v>43237</v>
      </c>
      <c r="B125" t="n">
        <v>146.85</v>
      </c>
      <c r="C125" t="n">
        <v>147.36</v>
      </c>
      <c r="D125" t="n">
        <v>139.9</v>
      </c>
      <c r="E125" t="n">
        <v>140.82</v>
      </c>
      <c r="F125" t="n">
        <v>109742900</v>
      </c>
      <c r="G125" s="18">
        <f>(AVERAGE(B125:E125)*F125)/F125</f>
        <v/>
      </c>
      <c r="H125" s="18">
        <f>AVERAGE(B125:E125)</f>
        <v/>
      </c>
      <c r="I125" s="259">
        <f>F124*AVERAGE(B124:E124)</f>
        <v/>
      </c>
    </row>
    <row r="126">
      <c r="A126" s="15" t="n">
        <v>43238</v>
      </c>
      <c r="B126" t="n">
        <v>139.88</v>
      </c>
      <c r="C126" t="n">
        <v>141.66</v>
      </c>
      <c r="D126" t="n">
        <v>136.6</v>
      </c>
      <c r="E126" t="n">
        <v>137.35</v>
      </c>
      <c r="F126" t="n">
        <v>136095600</v>
      </c>
      <c r="G126" s="18">
        <f>(AVERAGE(B126:E126)*F126)/F126</f>
        <v/>
      </c>
      <c r="H126" s="18">
        <f>AVERAGE(B126:E126)</f>
        <v/>
      </c>
      <c r="I126" s="259">
        <f>F125*AVERAGE(B125:E125)</f>
        <v/>
      </c>
    </row>
    <row r="127">
      <c r="A127" s="15" t="n">
        <v>43239</v>
      </c>
      <c r="B127" t="n">
        <v>139.09</v>
      </c>
      <c r="C127" t="n">
        <v>140.7</v>
      </c>
      <c r="D127" t="n">
        <v>132.61</v>
      </c>
      <c r="E127" t="n">
        <v>137.59</v>
      </c>
      <c r="F127" t="n">
        <v>137194600</v>
      </c>
      <c r="G127" s="18">
        <f>(AVERAGE(B127:E127)*F127)/F127</f>
        <v/>
      </c>
      <c r="H127" s="18">
        <f>AVERAGE(B127:E127)</f>
        <v/>
      </c>
      <c r="I127" s="259">
        <f>F126*AVERAGE(B126:E126)</f>
        <v/>
      </c>
    </row>
    <row r="128">
      <c r="A128" s="15" t="n">
        <v>43242</v>
      </c>
      <c r="B128" t="n">
        <v>137.79</v>
      </c>
      <c r="C128" t="n">
        <v>143.26</v>
      </c>
      <c r="D128" t="n">
        <v>137.65</v>
      </c>
      <c r="E128" t="n">
        <v>143.11</v>
      </c>
      <c r="F128" t="n">
        <v>117726300</v>
      </c>
      <c r="G128" s="18">
        <f>(AVERAGE(B128:E128)*F128)/F128</f>
        <v/>
      </c>
      <c r="H128" s="18">
        <f>AVERAGE(B128:E128)</f>
        <v/>
      </c>
      <c r="I128" s="259">
        <f>F127*AVERAGE(B127:E127)</f>
        <v/>
      </c>
    </row>
    <row r="129">
      <c r="A129" s="15" t="n">
        <v>43243</v>
      </c>
      <c r="B129" t="n">
        <v>140.81</v>
      </c>
      <c r="C129" t="n">
        <v>141.97</v>
      </c>
      <c r="D129" t="n">
        <v>137.33</v>
      </c>
      <c r="E129" t="n">
        <v>140.36</v>
      </c>
      <c r="F129" t="n">
        <v>104132700</v>
      </c>
      <c r="G129" s="18">
        <f>(AVERAGE(B129:E129)*F129)/F129</f>
        <v/>
      </c>
      <c r="H129" s="18">
        <f>AVERAGE(B129:E129)</f>
        <v/>
      </c>
      <c r="I129" s="259">
        <f>F128*AVERAGE(B128:E128)</f>
        <v/>
      </c>
    </row>
    <row r="130">
      <c r="A130" s="15" t="n">
        <v>43244</v>
      </c>
      <c r="B130" t="n">
        <v>138.43</v>
      </c>
      <c r="C130" t="n">
        <v>141.79</v>
      </c>
      <c r="D130" t="n">
        <v>138.34</v>
      </c>
      <c r="E130" t="n">
        <v>140.52</v>
      </c>
      <c r="F130" t="n">
        <v>92482700</v>
      </c>
      <c r="G130" s="18">
        <f>(AVERAGE(B130:E130)*F130)/F130</f>
        <v/>
      </c>
      <c r="H130" s="18">
        <f>AVERAGE(B130:E130)</f>
        <v/>
      </c>
      <c r="I130" s="259">
        <f>F129*AVERAGE(B129:E129)</f>
        <v/>
      </c>
    </row>
    <row r="131">
      <c r="A131" s="15" t="n">
        <v>43245</v>
      </c>
      <c r="B131" t="n">
        <v>137.39</v>
      </c>
      <c r="C131" t="n">
        <v>144.34</v>
      </c>
      <c r="D131" t="n">
        <v>137.14</v>
      </c>
      <c r="E131" t="n">
        <v>143.78</v>
      </c>
      <c r="F131" t="n">
        <v>90601500</v>
      </c>
      <c r="G131" s="18">
        <f>(AVERAGE(B131:E131)*F131)/F131</f>
        <v/>
      </c>
      <c r="H131" s="18">
        <f>AVERAGE(B131:E131)</f>
        <v/>
      </c>
      <c r="I131" s="259">
        <f>F130*AVERAGE(B130:E130)</f>
        <v/>
      </c>
    </row>
    <row r="132">
      <c r="A132" s="15" t="n">
        <v>43246</v>
      </c>
      <c r="B132" t="n">
        <v>145.39</v>
      </c>
      <c r="C132" t="n">
        <v>149.68</v>
      </c>
      <c r="D132" t="n">
        <v>145.26</v>
      </c>
      <c r="E132" t="n">
        <v>149.64</v>
      </c>
      <c r="F132" t="n">
        <v>90796900</v>
      </c>
      <c r="G132" s="18">
        <f>(AVERAGE(B132:E132)*F132)/F132</f>
        <v/>
      </c>
      <c r="H132" s="18">
        <f>AVERAGE(B132:E132)</f>
        <v/>
      </c>
      <c r="I132" s="259">
        <f>F131*AVERAGE(B131:E131)</f>
        <v/>
      </c>
    </row>
    <row r="133">
      <c r="A133" s="15" t="n">
        <v>43250</v>
      </c>
      <c r="B133" t="n">
        <v>149.07</v>
      </c>
      <c r="C133" t="n">
        <v>150.58</v>
      </c>
      <c r="D133" t="n">
        <v>146.84</v>
      </c>
      <c r="E133" t="n">
        <v>150.12</v>
      </c>
      <c r="F133" t="n">
        <v>45943738</v>
      </c>
      <c r="G133" s="18">
        <f>(AVERAGE(B133:E133)*F133)/F133</f>
        <v/>
      </c>
      <c r="H133" s="18">
        <f>AVERAGE(B133:E133)</f>
        <v/>
      </c>
      <c r="I133" s="259">
        <f>F132*AVERAGE(B132:E132)</f>
        <v/>
      </c>
    </row>
    <row r="134">
      <c r="A134" s="15" t="n"/>
      <c r="G134" s="18">
        <f>(AVERAGE(B134:E134)*F134)/F134</f>
        <v/>
      </c>
      <c r="H134" s="18">
        <f>AVERAGE(B134:E134)</f>
        <v/>
      </c>
      <c r="I134" s="259">
        <f>F133*AVERAGE(B133:E133)</f>
        <v/>
      </c>
    </row>
    <row r="135">
      <c r="A135" s="15" t="n"/>
      <c r="G135" s="18">
        <f>(AVERAGE(B135:E135)*F135)/F135</f>
        <v/>
      </c>
      <c r="H135" s="18">
        <f>AVERAGE(B135:E135)</f>
        <v/>
      </c>
      <c r="I135" s="259">
        <f>F134*AVERAGE(B134:E134)</f>
        <v/>
      </c>
    </row>
    <row r="136">
      <c r="A136" s="15" t="n"/>
      <c r="G136" s="18">
        <f>(AVERAGE(B136:E136)*F136)/F136</f>
        <v/>
      </c>
      <c r="H136" s="18">
        <f>AVERAGE(B136:E136)</f>
        <v/>
      </c>
      <c r="I136" s="259">
        <f>F136*AVERAGE(B136:E136)</f>
        <v/>
      </c>
    </row>
  </sheetData>
  <conditionalFormatting sqref="I8:I13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2:G146"/>
  <sheetViews>
    <sheetView workbookViewId="0">
      <selection activeCell="E2" sqref="E2"/>
    </sheetView>
  </sheetViews>
  <sheetFormatPr baseColWidth="8" defaultColWidth="8.85546875" defaultRowHeight="15"/>
  <cols>
    <col width="10.42578125" bestFit="1" customWidth="1" min="1" max="1"/>
    <col width="12.140625" bestFit="1" customWidth="1" min="3" max="3"/>
    <col width="9.5703125" bestFit="1" customWidth="1" min="5" max="5"/>
    <col width="12.5703125" bestFit="1" customWidth="1" min="6" max="6"/>
    <col width="11.85546875" bestFit="1" customWidth="1" min="7" max="7"/>
  </cols>
  <sheetData>
    <row r="2">
      <c r="A2" t="inlineStr">
        <is>
          <t>Date</t>
        </is>
      </c>
      <c r="B2" t="inlineStr">
        <is>
          <t>OHLC Average</t>
        </is>
      </c>
      <c r="C2" t="inlineStr">
        <is>
          <t>Value Traded</t>
        </is>
      </c>
      <c r="E2" t="inlineStr">
        <is>
          <t>Date</t>
        </is>
      </c>
      <c r="F2" t="inlineStr">
        <is>
          <t>OHLC Average</t>
        </is>
      </c>
      <c r="G2" t="inlineStr">
        <is>
          <t>Value Traded</t>
        </is>
      </c>
    </row>
    <row r="3">
      <c r="A3" s="15">
        <f>Data!A8</f>
        <v/>
      </c>
      <c r="B3" s="261">
        <f>Data!H8</f>
        <v/>
      </c>
      <c r="C3" s="261">
        <f>Data!I8</f>
        <v/>
      </c>
      <c r="E3" s="15">
        <f>Data!A108</f>
        <v/>
      </c>
      <c r="F3" s="261">
        <f>Data!H109</f>
        <v/>
      </c>
      <c r="G3" s="260">
        <f>Data!I109</f>
        <v/>
      </c>
    </row>
    <row r="4">
      <c r="A4" s="15">
        <f>Data!A9</f>
        <v/>
      </c>
      <c r="B4" s="261">
        <f>Data!H9</f>
        <v/>
      </c>
      <c r="C4" s="261">
        <f>Data!I9</f>
        <v/>
      </c>
      <c r="E4" s="15">
        <f>Data!A109</f>
        <v/>
      </c>
      <c r="F4" s="261">
        <f>Data!H110</f>
        <v/>
      </c>
      <c r="G4" s="260">
        <f>Data!I110</f>
        <v/>
      </c>
    </row>
    <row r="5">
      <c r="A5" s="15">
        <f>Data!A10</f>
        <v/>
      </c>
      <c r="B5" s="261">
        <f>Data!H10</f>
        <v/>
      </c>
      <c r="C5" s="261">
        <f>Data!I10</f>
        <v/>
      </c>
      <c r="E5" s="15">
        <f>Data!A110</f>
        <v/>
      </c>
      <c r="F5" s="261">
        <f>Data!H111</f>
        <v/>
      </c>
      <c r="G5" s="260">
        <f>Data!I111</f>
        <v/>
      </c>
    </row>
    <row r="6">
      <c r="A6" s="15">
        <f>Data!A11</f>
        <v/>
      </c>
      <c r="B6" s="261">
        <f>Data!H11</f>
        <v/>
      </c>
      <c r="C6" s="261">
        <f>Data!I11</f>
        <v/>
      </c>
      <c r="E6" s="15">
        <f>Data!A111</f>
        <v/>
      </c>
      <c r="F6" s="261">
        <f>Data!H112</f>
        <v/>
      </c>
      <c r="G6" s="260">
        <f>Data!I112</f>
        <v/>
      </c>
    </row>
    <row r="7">
      <c r="A7" s="15">
        <f>Data!A12</f>
        <v/>
      </c>
      <c r="B7" s="261">
        <f>Data!H12</f>
        <v/>
      </c>
      <c r="C7" s="261">
        <f>Data!I12</f>
        <v/>
      </c>
      <c r="E7" s="15">
        <f>Data!A112</f>
        <v/>
      </c>
      <c r="F7" s="261">
        <f>Data!H113</f>
        <v/>
      </c>
      <c r="G7" s="260">
        <f>Data!I113</f>
        <v/>
      </c>
    </row>
    <row r="8">
      <c r="A8" s="15">
        <f>Data!A13</f>
        <v/>
      </c>
      <c r="B8" s="261">
        <f>Data!H13</f>
        <v/>
      </c>
      <c r="C8" s="261">
        <f>Data!I13</f>
        <v/>
      </c>
      <c r="E8" s="15">
        <f>Data!A113</f>
        <v/>
      </c>
      <c r="F8" s="261">
        <f>Data!H114</f>
        <v/>
      </c>
      <c r="G8" s="260">
        <f>Data!I114</f>
        <v/>
      </c>
    </row>
    <row r="9">
      <c r="A9" s="15">
        <f>Data!A14</f>
        <v/>
      </c>
      <c r="B9" s="261">
        <f>Data!H14</f>
        <v/>
      </c>
      <c r="C9" s="261">
        <f>Data!I14</f>
        <v/>
      </c>
      <c r="E9" s="15">
        <f>Data!A114</f>
        <v/>
      </c>
      <c r="F9" s="261">
        <f>Data!H115</f>
        <v/>
      </c>
      <c r="G9" s="260">
        <f>Data!I115</f>
        <v/>
      </c>
    </row>
    <row r="10">
      <c r="A10" s="15">
        <f>Data!A15</f>
        <v/>
      </c>
      <c r="B10" s="261">
        <f>Data!H15</f>
        <v/>
      </c>
      <c r="C10" s="261">
        <f>Data!I15</f>
        <v/>
      </c>
      <c r="E10" s="15">
        <f>Data!A115</f>
        <v/>
      </c>
      <c r="F10" s="261">
        <f>Data!H116</f>
        <v/>
      </c>
      <c r="G10" s="260">
        <f>Data!I116</f>
        <v/>
      </c>
    </row>
    <row r="11">
      <c r="A11" s="15">
        <f>Data!A16</f>
        <v/>
      </c>
      <c r="B11" s="261">
        <f>Data!H16</f>
        <v/>
      </c>
      <c r="C11" s="261">
        <f>Data!I16</f>
        <v/>
      </c>
      <c r="E11" s="15">
        <f>Data!A116</f>
        <v/>
      </c>
      <c r="F11" s="261">
        <f>Data!H117</f>
        <v/>
      </c>
      <c r="G11" s="260">
        <f>Data!I117</f>
        <v/>
      </c>
    </row>
    <row r="12">
      <c r="A12" s="15">
        <f>Data!A17</f>
        <v/>
      </c>
      <c r="B12" s="261">
        <f>Data!H17</f>
        <v/>
      </c>
      <c r="C12" s="261">
        <f>Data!I17</f>
        <v/>
      </c>
      <c r="E12" s="15">
        <f>Data!A117</f>
        <v/>
      </c>
      <c r="F12" s="261">
        <f>Data!H118</f>
        <v/>
      </c>
      <c r="G12" s="260">
        <f>Data!I118</f>
        <v/>
      </c>
    </row>
    <row r="13">
      <c r="A13" s="15">
        <f>Data!A18</f>
        <v/>
      </c>
      <c r="B13" s="261">
        <f>Data!H18</f>
        <v/>
      </c>
      <c r="C13" s="261">
        <f>Data!I18</f>
        <v/>
      </c>
      <c r="E13" s="15">
        <f>Data!A118</f>
        <v/>
      </c>
      <c r="F13" s="261">
        <f>Data!H119</f>
        <v/>
      </c>
      <c r="G13" s="260">
        <f>Data!I119</f>
        <v/>
      </c>
    </row>
    <row r="14">
      <c r="A14" s="15">
        <f>Data!A19</f>
        <v/>
      </c>
      <c r="B14" s="261">
        <f>Data!H19</f>
        <v/>
      </c>
      <c r="C14" s="261">
        <f>Data!I19</f>
        <v/>
      </c>
      <c r="E14" s="15">
        <f>Data!A119</f>
        <v/>
      </c>
      <c r="F14" s="261">
        <f>Data!H120</f>
        <v/>
      </c>
      <c r="G14" s="260">
        <f>Data!I120</f>
        <v/>
      </c>
    </row>
    <row r="15">
      <c r="A15" s="15">
        <f>Data!A20</f>
        <v/>
      </c>
      <c r="B15" s="261">
        <f>Data!H20</f>
        <v/>
      </c>
      <c r="C15" s="261">
        <f>Data!I20</f>
        <v/>
      </c>
      <c r="E15" s="15">
        <f>Data!A120</f>
        <v/>
      </c>
      <c r="F15" s="261">
        <f>Data!H121</f>
        <v/>
      </c>
      <c r="G15" s="260">
        <f>Data!I121</f>
        <v/>
      </c>
    </row>
    <row r="16">
      <c r="A16" s="15">
        <f>Data!A21</f>
        <v/>
      </c>
      <c r="B16" s="261">
        <f>Data!H21</f>
        <v/>
      </c>
      <c r="C16" s="261">
        <f>Data!I21</f>
        <v/>
      </c>
      <c r="E16" s="15">
        <f>Data!A121</f>
        <v/>
      </c>
      <c r="F16" s="261">
        <f>Data!H122</f>
        <v/>
      </c>
      <c r="G16" s="260">
        <f>Data!I122</f>
        <v/>
      </c>
    </row>
    <row r="17">
      <c r="A17" s="15">
        <f>Data!A22</f>
        <v/>
      </c>
      <c r="B17" s="261">
        <f>Data!H22</f>
        <v/>
      </c>
      <c r="C17" s="261">
        <f>Data!I22</f>
        <v/>
      </c>
      <c r="E17" s="15">
        <f>Data!A122</f>
        <v/>
      </c>
      <c r="F17" s="261">
        <f>Data!H123</f>
        <v/>
      </c>
      <c r="G17" s="260">
        <f>Data!I123</f>
        <v/>
      </c>
    </row>
    <row r="18">
      <c r="A18" s="15">
        <f>Data!A23</f>
        <v/>
      </c>
      <c r="B18" s="261">
        <f>Data!H23</f>
        <v/>
      </c>
      <c r="C18" s="261">
        <f>Data!I23</f>
        <v/>
      </c>
      <c r="E18" s="15">
        <f>Data!A123</f>
        <v/>
      </c>
      <c r="F18" s="261">
        <f>Data!H124</f>
        <v/>
      </c>
      <c r="G18" s="260">
        <f>Data!I124</f>
        <v/>
      </c>
    </row>
    <row r="19">
      <c r="A19" s="15">
        <f>Data!A24</f>
        <v/>
      </c>
      <c r="B19" s="261">
        <f>Data!H24</f>
        <v/>
      </c>
      <c r="C19" s="261">
        <f>Data!I24</f>
        <v/>
      </c>
      <c r="E19" s="15">
        <f>Data!A124</f>
        <v/>
      </c>
      <c r="F19" s="261">
        <f>Data!H125</f>
        <v/>
      </c>
      <c r="G19" s="260">
        <f>Data!I125</f>
        <v/>
      </c>
    </row>
    <row r="20">
      <c r="A20" s="15">
        <f>Data!A25</f>
        <v/>
      </c>
      <c r="B20" s="261">
        <f>Data!H25</f>
        <v/>
      </c>
      <c r="C20" s="261">
        <f>Data!I25</f>
        <v/>
      </c>
      <c r="E20" s="15">
        <f>Data!A125</f>
        <v/>
      </c>
      <c r="F20" s="261">
        <f>Data!H126</f>
        <v/>
      </c>
      <c r="G20" s="260">
        <f>Data!I126</f>
        <v/>
      </c>
    </row>
    <row r="21">
      <c r="A21" s="15">
        <f>Data!A26</f>
        <v/>
      </c>
      <c r="B21" s="261">
        <f>Data!H26</f>
        <v/>
      </c>
      <c r="C21" s="261">
        <f>Data!I26</f>
        <v/>
      </c>
      <c r="E21" s="15">
        <f>Data!A126</f>
        <v/>
      </c>
      <c r="F21" s="261">
        <f>Data!H127</f>
        <v/>
      </c>
      <c r="G21" s="260">
        <f>Data!I127</f>
        <v/>
      </c>
    </row>
    <row r="22">
      <c r="A22" s="15">
        <f>Data!A27</f>
        <v/>
      </c>
      <c r="B22" s="261">
        <f>Data!H27</f>
        <v/>
      </c>
      <c r="C22" s="261">
        <f>Data!I27</f>
        <v/>
      </c>
      <c r="E22" s="15">
        <f>Data!A127</f>
        <v/>
      </c>
      <c r="F22" s="261">
        <f>Data!H128</f>
        <v/>
      </c>
      <c r="G22" s="260">
        <f>Data!I128</f>
        <v/>
      </c>
    </row>
    <row r="23">
      <c r="A23" s="15">
        <f>Data!A28</f>
        <v/>
      </c>
      <c r="B23" s="261">
        <f>Data!H28</f>
        <v/>
      </c>
      <c r="C23" s="261">
        <f>Data!I28</f>
        <v/>
      </c>
      <c r="E23" s="15">
        <f>Data!A128</f>
        <v/>
      </c>
      <c r="F23" s="261">
        <f>Data!H129</f>
        <v/>
      </c>
      <c r="G23" s="260">
        <f>Data!I129</f>
        <v/>
      </c>
    </row>
    <row r="24">
      <c r="A24" s="15">
        <f>Data!A29</f>
        <v/>
      </c>
      <c r="B24" s="261">
        <f>Data!H29</f>
        <v/>
      </c>
      <c r="C24" s="261">
        <f>Data!I29</f>
        <v/>
      </c>
      <c r="E24" s="15">
        <f>Data!A129</f>
        <v/>
      </c>
      <c r="F24" s="261">
        <f>Data!H130</f>
        <v/>
      </c>
      <c r="G24" s="260">
        <f>Data!I130</f>
        <v/>
      </c>
    </row>
    <row r="25">
      <c r="A25" s="15">
        <f>Data!A30</f>
        <v/>
      </c>
      <c r="B25" s="261">
        <f>Data!H30</f>
        <v/>
      </c>
      <c r="C25" s="261">
        <f>Data!I30</f>
        <v/>
      </c>
      <c r="E25" s="15" t="n"/>
      <c r="F25" s="261" t="n"/>
      <c r="G25" s="260" t="n"/>
    </row>
    <row r="26">
      <c r="A26" s="15">
        <f>Data!A31</f>
        <v/>
      </c>
      <c r="B26" s="261">
        <f>Data!H31</f>
        <v/>
      </c>
      <c r="C26" s="261">
        <f>Data!I31</f>
        <v/>
      </c>
      <c r="E26" s="15" t="n"/>
      <c r="F26" s="261" t="n"/>
      <c r="G26" s="260" t="n"/>
    </row>
    <row r="27">
      <c r="A27" s="15">
        <f>Data!A32</f>
        <v/>
      </c>
      <c r="B27" s="261">
        <f>Data!H32</f>
        <v/>
      </c>
      <c r="C27" s="261">
        <f>Data!I32</f>
        <v/>
      </c>
    </row>
    <row r="28">
      <c r="A28" s="15">
        <f>Data!A33</f>
        <v/>
      </c>
      <c r="B28" s="261">
        <f>Data!H33</f>
        <v/>
      </c>
      <c r="C28" s="261">
        <f>Data!I33</f>
        <v/>
      </c>
    </row>
    <row r="29">
      <c r="A29" s="15">
        <f>Data!A34</f>
        <v/>
      </c>
      <c r="B29" s="261">
        <f>Data!H34</f>
        <v/>
      </c>
      <c r="C29" s="261">
        <f>Data!I34</f>
        <v/>
      </c>
    </row>
    <row r="30">
      <c r="A30" s="15">
        <f>Data!A35</f>
        <v/>
      </c>
      <c r="B30" s="261">
        <f>Data!H35</f>
        <v/>
      </c>
      <c r="C30" s="261">
        <f>Data!I35</f>
        <v/>
      </c>
    </row>
    <row r="31">
      <c r="A31" s="15">
        <f>Data!A36</f>
        <v/>
      </c>
      <c r="B31" s="261">
        <f>Data!H36</f>
        <v/>
      </c>
      <c r="C31" s="261">
        <f>Data!I36</f>
        <v/>
      </c>
    </row>
    <row r="32">
      <c r="A32" s="15">
        <f>Data!A37</f>
        <v/>
      </c>
      <c r="B32" s="261">
        <f>Data!H37</f>
        <v/>
      </c>
      <c r="C32" s="261">
        <f>Data!I37</f>
        <v/>
      </c>
    </row>
    <row r="33">
      <c r="A33" s="15">
        <f>Data!A38</f>
        <v/>
      </c>
      <c r="B33" s="261">
        <f>Data!H38</f>
        <v/>
      </c>
      <c r="C33" s="261">
        <f>Data!I38</f>
        <v/>
      </c>
    </row>
    <row r="34">
      <c r="A34" s="15">
        <f>Data!A39</f>
        <v/>
      </c>
      <c r="B34" s="261">
        <f>Data!H39</f>
        <v/>
      </c>
      <c r="C34" s="261">
        <f>Data!I39</f>
        <v/>
      </c>
    </row>
    <row r="35">
      <c r="A35" s="15">
        <f>Data!A40</f>
        <v/>
      </c>
      <c r="B35" s="261">
        <f>Data!H40</f>
        <v/>
      </c>
      <c r="C35" s="261">
        <f>Data!I40</f>
        <v/>
      </c>
    </row>
    <row r="36">
      <c r="A36" s="15">
        <f>Data!A41</f>
        <v/>
      </c>
      <c r="B36" s="261">
        <f>Data!H41</f>
        <v/>
      </c>
      <c r="C36" s="261">
        <f>Data!I41</f>
        <v/>
      </c>
    </row>
    <row r="37">
      <c r="A37" s="15">
        <f>Data!A42</f>
        <v/>
      </c>
      <c r="B37" s="261">
        <f>Data!H42</f>
        <v/>
      </c>
      <c r="C37" s="261">
        <f>Data!I42</f>
        <v/>
      </c>
    </row>
    <row r="38">
      <c r="A38" s="15">
        <f>Data!A43</f>
        <v/>
      </c>
      <c r="B38" s="261">
        <f>Data!H43</f>
        <v/>
      </c>
      <c r="C38" s="261">
        <f>Data!I43</f>
        <v/>
      </c>
    </row>
    <row r="39">
      <c r="A39" s="15">
        <f>Data!A44</f>
        <v/>
      </c>
      <c r="B39" s="261">
        <f>Data!H44</f>
        <v/>
      </c>
      <c r="C39" s="261">
        <f>Data!I44</f>
        <v/>
      </c>
    </row>
    <row r="40">
      <c r="A40" s="15">
        <f>Data!A45</f>
        <v/>
      </c>
      <c r="B40" s="261">
        <f>Data!H45</f>
        <v/>
      </c>
      <c r="C40" s="261">
        <f>Data!I45</f>
        <v/>
      </c>
    </row>
    <row r="41">
      <c r="A41" s="15">
        <f>Data!A46</f>
        <v/>
      </c>
      <c r="B41" s="261">
        <f>Data!H46</f>
        <v/>
      </c>
      <c r="C41" s="261">
        <f>Data!I46</f>
        <v/>
      </c>
    </row>
    <row r="42">
      <c r="A42" s="15">
        <f>Data!A47</f>
        <v/>
      </c>
      <c r="B42" s="261">
        <f>Data!H47</f>
        <v/>
      </c>
      <c r="C42" s="261">
        <f>Data!I47</f>
        <v/>
      </c>
    </row>
    <row r="43">
      <c r="A43" s="15">
        <f>Data!A48</f>
        <v/>
      </c>
      <c r="B43" s="261">
        <f>Data!H48</f>
        <v/>
      </c>
      <c r="C43" s="261">
        <f>Data!I48</f>
        <v/>
      </c>
    </row>
    <row r="44">
      <c r="A44" s="15">
        <f>Data!A49</f>
        <v/>
      </c>
      <c r="B44" s="261">
        <f>Data!H49</f>
        <v/>
      </c>
      <c r="C44" s="261">
        <f>Data!I49</f>
        <v/>
      </c>
    </row>
    <row r="45">
      <c r="A45" s="15">
        <f>Data!A50</f>
        <v/>
      </c>
      <c r="B45" s="261">
        <f>Data!H50</f>
        <v/>
      </c>
      <c r="C45" s="261">
        <f>Data!I50</f>
        <v/>
      </c>
    </row>
    <row r="46">
      <c r="A46" s="15">
        <f>Data!A51</f>
        <v/>
      </c>
      <c r="B46" s="261">
        <f>Data!H51</f>
        <v/>
      </c>
      <c r="C46" s="261">
        <f>Data!I51</f>
        <v/>
      </c>
    </row>
    <row r="47">
      <c r="A47" s="15">
        <f>Data!A52</f>
        <v/>
      </c>
      <c r="B47" s="261">
        <f>Data!H52</f>
        <v/>
      </c>
      <c r="C47" s="261">
        <f>Data!I52</f>
        <v/>
      </c>
    </row>
    <row r="48">
      <c r="A48" s="15">
        <f>Data!A53</f>
        <v/>
      </c>
      <c r="B48" s="261">
        <f>Data!H53</f>
        <v/>
      </c>
      <c r="C48" s="261">
        <f>Data!I53</f>
        <v/>
      </c>
    </row>
    <row r="49">
      <c r="A49" s="15">
        <f>Data!A54</f>
        <v/>
      </c>
      <c r="B49" s="261">
        <f>Data!H54</f>
        <v/>
      </c>
      <c r="C49" s="261">
        <f>Data!I54</f>
        <v/>
      </c>
    </row>
    <row r="50">
      <c r="A50" s="15">
        <f>Data!A55</f>
        <v/>
      </c>
      <c r="B50" s="261">
        <f>Data!H55</f>
        <v/>
      </c>
      <c r="C50" s="261">
        <f>Data!I55</f>
        <v/>
      </c>
    </row>
    <row r="51">
      <c r="A51" s="15">
        <f>Data!A56</f>
        <v/>
      </c>
      <c r="B51" s="261">
        <f>Data!H56</f>
        <v/>
      </c>
      <c r="C51" s="261">
        <f>Data!I56</f>
        <v/>
      </c>
    </row>
    <row r="52">
      <c r="A52" s="15">
        <f>Data!A57</f>
        <v/>
      </c>
      <c r="B52" s="261">
        <f>Data!H57</f>
        <v/>
      </c>
      <c r="C52" s="261">
        <f>Data!I57</f>
        <v/>
      </c>
    </row>
    <row r="53">
      <c r="A53" s="15">
        <f>Data!A58</f>
        <v/>
      </c>
      <c r="B53" s="261">
        <f>Data!H58</f>
        <v/>
      </c>
      <c r="C53" s="261">
        <f>Data!I58</f>
        <v/>
      </c>
    </row>
    <row r="54">
      <c r="A54" s="15">
        <f>Data!A59</f>
        <v/>
      </c>
      <c r="B54" s="261">
        <f>Data!H59</f>
        <v/>
      </c>
      <c r="C54" s="261">
        <f>Data!I59</f>
        <v/>
      </c>
    </row>
    <row r="55">
      <c r="A55" s="15">
        <f>Data!A60</f>
        <v/>
      </c>
      <c r="B55" s="261">
        <f>Data!H60</f>
        <v/>
      </c>
      <c r="C55" s="261">
        <f>Data!I60</f>
        <v/>
      </c>
    </row>
    <row r="56">
      <c r="A56" s="15">
        <f>Data!A61</f>
        <v/>
      </c>
      <c r="B56" s="261">
        <f>Data!H61</f>
        <v/>
      </c>
      <c r="C56" s="261">
        <f>Data!I61</f>
        <v/>
      </c>
    </row>
    <row r="57">
      <c r="A57" s="15">
        <f>Data!A62</f>
        <v/>
      </c>
      <c r="B57" s="261">
        <f>Data!H62</f>
        <v/>
      </c>
      <c r="C57" s="261">
        <f>Data!I62</f>
        <v/>
      </c>
    </row>
    <row r="58">
      <c r="A58" s="15">
        <f>Data!A63</f>
        <v/>
      </c>
      <c r="B58" s="261">
        <f>Data!H63</f>
        <v/>
      </c>
      <c r="C58" s="261">
        <f>Data!I63</f>
        <v/>
      </c>
    </row>
    <row r="59">
      <c r="A59" s="15">
        <f>Data!A64</f>
        <v/>
      </c>
      <c r="B59" s="261">
        <f>Data!H64</f>
        <v/>
      </c>
      <c r="C59" s="261">
        <f>Data!I64</f>
        <v/>
      </c>
    </row>
    <row r="60">
      <c r="A60" s="15">
        <f>Data!A65</f>
        <v/>
      </c>
      <c r="B60" s="261">
        <f>Data!H65</f>
        <v/>
      </c>
      <c r="C60" s="261">
        <f>Data!I65</f>
        <v/>
      </c>
    </row>
    <row r="61">
      <c r="A61" s="15">
        <f>Data!A66</f>
        <v/>
      </c>
      <c r="B61" s="261">
        <f>Data!H66</f>
        <v/>
      </c>
      <c r="C61" s="261">
        <f>Data!I66</f>
        <v/>
      </c>
    </row>
    <row r="62">
      <c r="A62" s="15">
        <f>Data!A67</f>
        <v/>
      </c>
      <c r="B62" s="261">
        <f>Data!H67</f>
        <v/>
      </c>
      <c r="C62" s="261">
        <f>Data!I67</f>
        <v/>
      </c>
    </row>
    <row r="63">
      <c r="A63" s="15">
        <f>Data!A68</f>
        <v/>
      </c>
      <c r="B63" s="261">
        <f>Data!H68</f>
        <v/>
      </c>
      <c r="C63" s="261">
        <f>Data!I68</f>
        <v/>
      </c>
    </row>
    <row r="64">
      <c r="A64" s="15">
        <f>Data!A69</f>
        <v/>
      </c>
      <c r="B64" s="261">
        <f>Data!H69</f>
        <v/>
      </c>
      <c r="C64" s="261">
        <f>Data!I69</f>
        <v/>
      </c>
    </row>
    <row r="65">
      <c r="A65" s="15">
        <f>Data!A70</f>
        <v/>
      </c>
      <c r="B65" s="261">
        <f>Data!H70</f>
        <v/>
      </c>
      <c r="C65" s="261">
        <f>Data!I70</f>
        <v/>
      </c>
    </row>
    <row r="66">
      <c r="A66" s="15">
        <f>Data!A71</f>
        <v/>
      </c>
      <c r="B66" s="261">
        <f>Data!H71</f>
        <v/>
      </c>
      <c r="C66" s="261">
        <f>Data!I71</f>
        <v/>
      </c>
    </row>
    <row r="67">
      <c r="A67" s="15">
        <f>Data!A72</f>
        <v/>
      </c>
      <c r="B67" s="261">
        <f>Data!H72</f>
        <v/>
      </c>
      <c r="C67" s="261">
        <f>Data!I72</f>
        <v/>
      </c>
    </row>
    <row r="68">
      <c r="A68" s="15">
        <f>Data!A73</f>
        <v/>
      </c>
      <c r="B68" s="261">
        <f>Data!H73</f>
        <v/>
      </c>
      <c r="C68" s="261">
        <f>Data!I73</f>
        <v/>
      </c>
    </row>
    <row r="69">
      <c r="A69" s="15">
        <f>Data!A74</f>
        <v/>
      </c>
      <c r="B69" s="261">
        <f>Data!H74</f>
        <v/>
      </c>
      <c r="C69" s="261">
        <f>Data!I74</f>
        <v/>
      </c>
    </row>
    <row r="70">
      <c r="A70" s="15">
        <f>Data!A75</f>
        <v/>
      </c>
      <c r="B70" s="261">
        <f>Data!H75</f>
        <v/>
      </c>
      <c r="C70" s="261">
        <f>Data!I75</f>
        <v/>
      </c>
    </row>
    <row r="71">
      <c r="A71" s="15">
        <f>Data!A76</f>
        <v/>
      </c>
      <c r="B71" s="261">
        <f>Data!H76</f>
        <v/>
      </c>
      <c r="C71" s="261">
        <f>Data!I76</f>
        <v/>
      </c>
    </row>
    <row r="72">
      <c r="A72" s="15">
        <f>Data!A77</f>
        <v/>
      </c>
      <c r="B72" s="261">
        <f>Data!H77</f>
        <v/>
      </c>
      <c r="C72" s="261">
        <f>Data!I77</f>
        <v/>
      </c>
    </row>
    <row r="73">
      <c r="A73" s="15">
        <f>Data!A78</f>
        <v/>
      </c>
      <c r="B73" s="261">
        <f>Data!H78</f>
        <v/>
      </c>
      <c r="C73" s="261">
        <f>Data!I78</f>
        <v/>
      </c>
    </row>
    <row r="74">
      <c r="A74" s="15">
        <f>Data!A79</f>
        <v/>
      </c>
      <c r="B74" s="261">
        <f>Data!H79</f>
        <v/>
      </c>
      <c r="C74" s="261">
        <f>Data!I79</f>
        <v/>
      </c>
    </row>
    <row r="75">
      <c r="A75" s="15">
        <f>Data!A80</f>
        <v/>
      </c>
      <c r="B75" s="261">
        <f>Data!H80</f>
        <v/>
      </c>
      <c r="C75" s="261">
        <f>Data!I80</f>
        <v/>
      </c>
    </row>
    <row r="76">
      <c r="A76" s="15">
        <f>Data!A81</f>
        <v/>
      </c>
      <c r="B76" s="261">
        <f>Data!H81</f>
        <v/>
      </c>
      <c r="C76" s="261">
        <f>Data!I81</f>
        <v/>
      </c>
    </row>
    <row r="77">
      <c r="A77" s="15">
        <f>Data!A82</f>
        <v/>
      </c>
      <c r="B77" s="261">
        <f>Data!H82</f>
        <v/>
      </c>
      <c r="C77" s="261">
        <f>Data!I82</f>
        <v/>
      </c>
    </row>
    <row r="78">
      <c r="A78" s="15">
        <f>Data!A83</f>
        <v/>
      </c>
      <c r="B78" s="261">
        <f>Data!H83</f>
        <v/>
      </c>
      <c r="C78" s="261">
        <f>Data!I83</f>
        <v/>
      </c>
    </row>
    <row r="79">
      <c r="A79" s="15">
        <f>Data!A84</f>
        <v/>
      </c>
      <c r="B79" s="261">
        <f>Data!H84</f>
        <v/>
      </c>
      <c r="C79" s="261">
        <f>Data!I84</f>
        <v/>
      </c>
    </row>
    <row r="80">
      <c r="A80" s="15">
        <f>Data!A85</f>
        <v/>
      </c>
      <c r="B80" s="261">
        <f>Data!H85</f>
        <v/>
      </c>
      <c r="C80" s="261">
        <f>Data!I85</f>
        <v/>
      </c>
    </row>
    <row r="81">
      <c r="A81" s="15">
        <f>Data!A86</f>
        <v/>
      </c>
      <c r="B81" s="261">
        <f>Data!H86</f>
        <v/>
      </c>
      <c r="C81" s="261">
        <f>Data!I86</f>
        <v/>
      </c>
    </row>
    <row r="82">
      <c r="A82" s="15">
        <f>Data!A87</f>
        <v/>
      </c>
      <c r="B82" s="261">
        <f>Data!H87</f>
        <v/>
      </c>
      <c r="C82" s="261">
        <f>Data!I87</f>
        <v/>
      </c>
    </row>
    <row r="83">
      <c r="A83" s="15">
        <f>Data!A88</f>
        <v/>
      </c>
      <c r="B83" s="261">
        <f>Data!H88</f>
        <v/>
      </c>
      <c r="C83" s="261">
        <f>Data!I88</f>
        <v/>
      </c>
    </row>
    <row r="84">
      <c r="A84" s="15">
        <f>Data!A89</f>
        <v/>
      </c>
      <c r="B84" s="261">
        <f>Data!H89</f>
        <v/>
      </c>
      <c r="C84" s="261">
        <f>Data!I89</f>
        <v/>
      </c>
    </row>
    <row r="85">
      <c r="A85" s="15">
        <f>Data!A90</f>
        <v/>
      </c>
      <c r="B85" s="261">
        <f>Data!H90</f>
        <v/>
      </c>
      <c r="C85" s="261">
        <f>Data!I90</f>
        <v/>
      </c>
    </row>
    <row r="86">
      <c r="A86" s="15">
        <f>Data!A91</f>
        <v/>
      </c>
      <c r="B86" s="261">
        <f>Data!H91</f>
        <v/>
      </c>
      <c r="C86" s="261">
        <f>Data!I91</f>
        <v/>
      </c>
    </row>
    <row r="87">
      <c r="A87" s="15">
        <f>Data!A92</f>
        <v/>
      </c>
      <c r="B87" s="261">
        <f>Data!H92</f>
        <v/>
      </c>
      <c r="C87" s="261">
        <f>Data!I92</f>
        <v/>
      </c>
    </row>
    <row r="88">
      <c r="A88" s="15">
        <f>Data!A93</f>
        <v/>
      </c>
      <c r="B88" s="261">
        <f>Data!H93</f>
        <v/>
      </c>
      <c r="C88" s="261">
        <f>Data!I93</f>
        <v/>
      </c>
    </row>
    <row r="89">
      <c r="A89" s="15">
        <f>Data!#REF!</f>
        <v/>
      </c>
      <c r="B89" s="261">
        <f>Data!H94</f>
        <v/>
      </c>
      <c r="C89" s="261">
        <f>Data!I94</f>
        <v/>
      </c>
    </row>
    <row r="90">
      <c r="A90" s="15">
        <f>Data!A94</f>
        <v/>
      </c>
      <c r="B90" s="261">
        <f>Data!H95</f>
        <v/>
      </c>
      <c r="C90" s="261">
        <f>Data!I95</f>
        <v/>
      </c>
    </row>
    <row r="91">
      <c r="A91" s="15">
        <f>Data!A95</f>
        <v/>
      </c>
      <c r="B91" s="261">
        <f>Data!H96</f>
        <v/>
      </c>
      <c r="C91" s="261">
        <f>Data!I96</f>
        <v/>
      </c>
    </row>
    <row r="92">
      <c r="A92" s="15">
        <f>Data!A96</f>
        <v/>
      </c>
      <c r="B92" s="261">
        <f>Data!H97</f>
        <v/>
      </c>
      <c r="C92" s="261">
        <f>Data!I97</f>
        <v/>
      </c>
    </row>
    <row r="93">
      <c r="A93" s="15">
        <f>Data!A97</f>
        <v/>
      </c>
      <c r="B93" s="261">
        <f>Data!H98</f>
        <v/>
      </c>
      <c r="C93" s="261">
        <f>Data!I98</f>
        <v/>
      </c>
    </row>
    <row r="94">
      <c r="A94" s="15">
        <f>Data!A98</f>
        <v/>
      </c>
      <c r="B94" s="261">
        <f>Data!H99</f>
        <v/>
      </c>
      <c r="C94" s="261">
        <f>Data!I99</f>
        <v/>
      </c>
    </row>
    <row r="95">
      <c r="A95" s="15">
        <f>Data!A99</f>
        <v/>
      </c>
      <c r="B95" s="261">
        <f>Data!H100</f>
        <v/>
      </c>
      <c r="C95" s="261">
        <f>Data!I100</f>
        <v/>
      </c>
    </row>
    <row r="96">
      <c r="A96" s="15">
        <f>Data!A100</f>
        <v/>
      </c>
      <c r="B96" s="261">
        <f>Data!H101</f>
        <v/>
      </c>
      <c r="C96" s="261">
        <f>Data!I101</f>
        <v/>
      </c>
    </row>
    <row r="97">
      <c r="A97" s="15">
        <f>Data!A101</f>
        <v/>
      </c>
      <c r="B97" s="261">
        <f>Data!H102</f>
        <v/>
      </c>
      <c r="C97" s="261">
        <f>Data!I102</f>
        <v/>
      </c>
    </row>
    <row r="98">
      <c r="A98" s="15">
        <f>Data!A102</f>
        <v/>
      </c>
      <c r="B98" s="261">
        <f>Data!H103</f>
        <v/>
      </c>
      <c r="C98" s="261">
        <f>Data!I103</f>
        <v/>
      </c>
    </row>
    <row r="99">
      <c r="A99" s="15">
        <f>Data!A103</f>
        <v/>
      </c>
      <c r="B99" s="261">
        <f>Data!H104</f>
        <v/>
      </c>
      <c r="C99" s="261">
        <f>Data!I104</f>
        <v/>
      </c>
    </row>
    <row r="100">
      <c r="A100" s="15">
        <f>Data!A104</f>
        <v/>
      </c>
      <c r="B100" s="261">
        <f>Data!H105</f>
        <v/>
      </c>
      <c r="C100" s="261">
        <f>Data!I105</f>
        <v/>
      </c>
    </row>
    <row r="101">
      <c r="A101" s="15">
        <f>Data!A105</f>
        <v/>
      </c>
      <c r="B101" s="261">
        <f>Data!H106</f>
        <v/>
      </c>
      <c r="C101" s="261">
        <f>Data!I106</f>
        <v/>
      </c>
    </row>
    <row r="102">
      <c r="A102" s="15">
        <f>Data!A106</f>
        <v/>
      </c>
      <c r="B102" s="261">
        <f>Data!H107</f>
        <v/>
      </c>
      <c r="C102" s="261">
        <f>Data!I107</f>
        <v/>
      </c>
    </row>
    <row r="103">
      <c r="A103" s="15">
        <f>Data!A107</f>
        <v/>
      </c>
      <c r="B103" s="261">
        <f>Data!H108</f>
        <v/>
      </c>
      <c r="C103" s="261">
        <f>Data!I108</f>
        <v/>
      </c>
    </row>
    <row r="104">
      <c r="A104" s="15">
        <f>Data!A108</f>
        <v/>
      </c>
      <c r="B104" s="261">
        <f>Data!H109</f>
        <v/>
      </c>
      <c r="C104" s="261">
        <f>Data!I109</f>
        <v/>
      </c>
    </row>
    <row r="105">
      <c r="A105" s="15">
        <f>Data!A109</f>
        <v/>
      </c>
      <c r="B105" s="261">
        <f>Data!H110</f>
        <v/>
      </c>
      <c r="C105" s="261">
        <f>Data!I110</f>
        <v/>
      </c>
    </row>
    <row r="106">
      <c r="A106" s="15">
        <f>Data!A110</f>
        <v/>
      </c>
      <c r="B106" s="261">
        <f>Data!H111</f>
        <v/>
      </c>
      <c r="C106" s="261">
        <f>Data!I111</f>
        <v/>
      </c>
    </row>
    <row r="107">
      <c r="A107" s="15">
        <f>Data!A111</f>
        <v/>
      </c>
      <c r="B107" s="261">
        <f>Data!H112</f>
        <v/>
      </c>
      <c r="C107" s="261">
        <f>Data!I112</f>
        <v/>
      </c>
    </row>
    <row r="108">
      <c r="A108" s="15">
        <f>Data!A112</f>
        <v/>
      </c>
      <c r="B108" s="261">
        <f>Data!H113</f>
        <v/>
      </c>
      <c r="C108" s="261">
        <f>Data!I113</f>
        <v/>
      </c>
    </row>
    <row r="109">
      <c r="A109" s="15">
        <f>Data!A113</f>
        <v/>
      </c>
      <c r="B109" s="261">
        <f>Data!H114</f>
        <v/>
      </c>
      <c r="C109" s="261">
        <f>Data!I114</f>
        <v/>
      </c>
    </row>
    <row r="110">
      <c r="A110" s="15">
        <f>Data!A114</f>
        <v/>
      </c>
      <c r="B110" s="261">
        <f>Data!H115</f>
        <v/>
      </c>
      <c r="C110" s="261">
        <f>Data!I115</f>
        <v/>
      </c>
    </row>
    <row r="111">
      <c r="A111" s="15">
        <f>Data!A115</f>
        <v/>
      </c>
      <c r="B111" s="261">
        <f>Data!H116</f>
        <v/>
      </c>
      <c r="C111" s="261">
        <f>Data!I116</f>
        <v/>
      </c>
    </row>
    <row r="112">
      <c r="A112" s="15">
        <f>Data!A116</f>
        <v/>
      </c>
      <c r="B112" s="261">
        <f>Data!H117</f>
        <v/>
      </c>
      <c r="C112" s="261">
        <f>Data!I117</f>
        <v/>
      </c>
    </row>
    <row r="113">
      <c r="A113" s="15">
        <f>Data!A117</f>
        <v/>
      </c>
      <c r="B113" s="261">
        <f>Data!H118</f>
        <v/>
      </c>
      <c r="C113" s="261">
        <f>Data!I118</f>
        <v/>
      </c>
    </row>
    <row r="114">
      <c r="A114" s="15">
        <f>Data!A118</f>
        <v/>
      </c>
      <c r="B114" s="261">
        <f>Data!H119</f>
        <v/>
      </c>
      <c r="C114" s="261">
        <f>Data!I119</f>
        <v/>
      </c>
    </row>
    <row r="115">
      <c r="A115" s="15">
        <f>Data!A119</f>
        <v/>
      </c>
      <c r="B115" s="261">
        <f>Data!H120</f>
        <v/>
      </c>
      <c r="C115" s="261">
        <f>Data!I120</f>
        <v/>
      </c>
    </row>
    <row r="116">
      <c r="A116" s="15">
        <f>Data!A120</f>
        <v/>
      </c>
      <c r="B116" s="261">
        <f>Data!H121</f>
        <v/>
      </c>
      <c r="C116" s="261">
        <f>Data!I121</f>
        <v/>
      </c>
    </row>
    <row r="117">
      <c r="A117" s="15">
        <f>Data!A121</f>
        <v/>
      </c>
      <c r="B117" s="261">
        <f>Data!H122</f>
        <v/>
      </c>
      <c r="C117" s="261">
        <f>Data!I122</f>
        <v/>
      </c>
    </row>
    <row r="118">
      <c r="A118" s="15">
        <f>Data!A122</f>
        <v/>
      </c>
      <c r="B118" s="261">
        <f>Data!H123</f>
        <v/>
      </c>
      <c r="C118" s="261">
        <f>Data!I123</f>
        <v/>
      </c>
    </row>
    <row r="119">
      <c r="A119" s="15">
        <f>Data!A123</f>
        <v/>
      </c>
      <c r="B119" s="261">
        <f>Data!H124</f>
        <v/>
      </c>
      <c r="C119" s="261">
        <f>Data!I124</f>
        <v/>
      </c>
    </row>
    <row r="120">
      <c r="A120" s="15">
        <f>Data!A124</f>
        <v/>
      </c>
      <c r="B120" s="261">
        <f>Data!H125</f>
        <v/>
      </c>
      <c r="C120" s="261">
        <f>Data!I125</f>
        <v/>
      </c>
    </row>
    <row r="121">
      <c r="A121" s="15">
        <f>Data!A125</f>
        <v/>
      </c>
      <c r="B121" s="261">
        <f>Data!H126</f>
        <v/>
      </c>
      <c r="C121" s="261">
        <f>Data!I126</f>
        <v/>
      </c>
    </row>
    <row r="122">
      <c r="A122" s="15">
        <f>Data!A126</f>
        <v/>
      </c>
      <c r="B122" s="261">
        <f>Data!H127</f>
        <v/>
      </c>
      <c r="C122" s="261">
        <f>Data!I127</f>
        <v/>
      </c>
    </row>
    <row r="123">
      <c r="A123" s="15">
        <f>Data!A127</f>
        <v/>
      </c>
      <c r="B123" s="261">
        <f>Data!H128</f>
        <v/>
      </c>
      <c r="C123" s="261">
        <f>Data!I128</f>
        <v/>
      </c>
    </row>
    <row r="124">
      <c r="A124" s="15">
        <f>Data!A128</f>
        <v/>
      </c>
      <c r="B124" s="261">
        <f>Data!H129</f>
        <v/>
      </c>
      <c r="C124" s="261">
        <f>Data!I129</f>
        <v/>
      </c>
    </row>
    <row r="125">
      <c r="A125" s="15">
        <f>Data!A129</f>
        <v/>
      </c>
      <c r="B125" s="261">
        <f>Data!H130</f>
        <v/>
      </c>
      <c r="C125" s="261">
        <f>Data!I130</f>
        <v/>
      </c>
    </row>
    <row r="126">
      <c r="A126" s="15" t="n"/>
    </row>
    <row r="127">
      <c r="A127" s="15" t="n"/>
    </row>
    <row r="128">
      <c r="A128" s="15" t="n"/>
    </row>
    <row r="129">
      <c r="A129" s="15" t="n"/>
    </row>
    <row r="130">
      <c r="A130" s="15" t="n"/>
    </row>
    <row r="131">
      <c r="A131" s="15" t="n"/>
    </row>
    <row r="132">
      <c r="A132" s="15" t="n"/>
    </row>
    <row r="133">
      <c r="A133" s="15" t="n"/>
    </row>
    <row r="134">
      <c r="A134" s="15" t="n"/>
    </row>
    <row r="135">
      <c r="A135" s="15" t="n"/>
    </row>
    <row r="136">
      <c r="A136" s="15" t="n"/>
    </row>
    <row r="137">
      <c r="A137" s="15" t="n"/>
    </row>
    <row r="138">
      <c r="A138" s="15" t="n"/>
    </row>
    <row r="139">
      <c r="A139" s="15" t="n"/>
    </row>
    <row r="140">
      <c r="A140" s="15" t="n"/>
    </row>
    <row r="141">
      <c r="A141" s="15" t="n"/>
    </row>
    <row r="142">
      <c r="A142" s="15" t="n"/>
    </row>
    <row r="143">
      <c r="A143" s="15" t="n"/>
    </row>
    <row r="144">
      <c r="A144" s="15" t="n"/>
    </row>
    <row r="145">
      <c r="A145" s="15" t="n"/>
    </row>
    <row r="146">
      <c r="A146" s="15" t="n"/>
    </row>
  </sheetData>
  <pageMargins left="0.7" right="0.7" top="0.75" bottom="0.75" header="0.3" footer="0.3"/>
</worksheet>
</file>

<file path=xl/worksheets/sheet5.xml><?xml version="1.0" encoding="utf-8"?>
<worksheet xmlns="http://schemas.openxmlformats.org/spreadsheetml/2006/main">
  <sheetPr codeName="Sheet4">
    <outlinePr summaryBelow="1" summaryRight="1"/>
    <pageSetUpPr/>
  </sheetPr>
  <dimension ref="A1:A2"/>
  <sheetViews>
    <sheetView workbookViewId="0">
      <selection activeCell="A1" sqref="A1:A2"/>
    </sheetView>
  </sheetViews>
  <sheetFormatPr baseColWidth="8" defaultColWidth="8.85546875" defaultRowHeight="15"/>
  <sheetData>
    <row r="1">
      <c r="A1" t="inlineStr">
        <is>
          <t>10Q</t>
        </is>
      </c>
    </row>
    <row r="2">
      <c r="A2" t="inlineStr">
        <is>
          <t>10K</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Ben</dc:creator>
  <dcterms:created xmlns:dcterms="http://purl.org/dc/terms/" xmlns:xsi="http://www.w3.org/2001/XMLSchema-instance" xsi:type="dcterms:W3CDTF">2015-05-20T13:49:55Z</dcterms:created>
  <dcterms:modified xmlns:dcterms="http://purl.org/dc/terms/" xmlns:xsi="http://www.w3.org/2001/XMLSchema-instance" xsi:type="dcterms:W3CDTF">2022-05-29T18:51:49Z</dcterms:modified>
</cp:coreProperties>
</file>